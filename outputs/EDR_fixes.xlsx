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945c0e9bb8c42bf" /></Relationships>
</file>

<file path=xl/workbook.xml><?xml version="1.0" encoding="utf-8"?>
<x:workbook xmlns:x="http://schemas.openxmlformats.org/spreadsheetml/2006/main">
  <x:sheets>
    <x:sheet xmlns:r="http://schemas.openxmlformats.org/officeDocument/2006/relationships" name="Overview" sheetId="1" r:id="Rc3bd67fe642b4080"/>
    <x:sheet xmlns:r="http://schemas.openxmlformats.org/officeDocument/2006/relationships" name="Changes" sheetId="2" r:id="R5b314ad488274a29"/>
    <x:sheet xmlns:r="http://schemas.openxmlformats.org/officeDocument/2006/relationships" name="Runtime Artifacts" sheetId="3" r:id="Rbe43d9f90321443d"/>
    <x:sheet xmlns:r="http://schemas.openxmlformats.org/officeDocument/2006/relationships" name="Verification" sheetId="4" r:id="R9dfa49224c8642dd"/>
    <x:sheet xmlns:r="http://schemas.openxmlformats.org/officeDocument/2006/relationships" name="Known Items" sheetId="5" r:id="Ra7a03369eed24136"/>
    <x:sheet xmlns:r="http://schemas.openxmlformats.org/officeDocument/2006/relationships" name="Deployment Migrations" sheetId="6" r:id="R9df11f6551ad456a"/>
    <x:sheet xmlns:r="http://schemas.openxmlformats.org/officeDocument/2006/relationships" name="SRS Gap Mapping" sheetId="7" r:id="R947a7657488c4413"/>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<x:sst xmlns:x="http://schemas.openxmlformats.org/spreadsheetml/2006/main">
  <x:si>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</x:si>
  <x:si>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</x:si>
  <x:si>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</x:si>
  <x:si>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</x:si>
  <x:si>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</x:si>
  <x:si>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</x:si>
  <x:si>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</x:si>
  <x:si>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</x:si>
  <x:si>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</x:si>
  <x:si>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</x:si>
  <x:si>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</x:si>
  <x:si>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</x:si>
  <x:si>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</x:si>
  <x:si>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</x:si>
  <x:si>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</x:si>
  <x:si>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</x:si>
  <x:si>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</x:si>
  <x:si>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</x:si>
  <x:si>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</x:si>
  <x:si>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</x:si>
  <x:si>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</x:si>
  <x:si>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</x:si>
  <x:si>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</x:si>
  <x:si>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</x:si>
  <x:si>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</x:si>
  <x:si>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</x:si>
  <x:si>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</x:si>
  <x:si>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</x:si>
  <x:si>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</x:si>
  <x:si>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</x:si>
  <x:si>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</x:si>
  <x:si>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</x:si>
  <x:si>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</x:si>
  <x:si>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</x:si>
  <x:si>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</x:si>
  <x:si>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</x:si>
  <x:si>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</x:si>
  <x:si>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</x:si>
  <x:si>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</x:si>
  <x:si>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</x:si>
  <x:si>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</x:si>
  <x:si>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</x:si>
  <x:si>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</x:si>
  <x:si>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</x:si>
  <x:si>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</x:si>
  <x:si>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</x:si>
  <x:si>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</x:si>
  <x:si>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</x:si>
  <x:si>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</x:si>
  <x:si>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</x:si>
  <x:si>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</x:si>
  <x:si>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</x:si>
  <x:si>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</x:si>
  <x:si>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</x:si>
  <x:si>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</x:si>
  <x:si>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</x:si>
  <x:si>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</x:si>
  <x:si>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</x:si>
  <x:si>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</x:si>
  <x:si>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</x:si>
  <x:si>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</x:si>
  <x:si>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</x:si>
  <x:si>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</x:si>
  <x:si>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</x:si>
  <x:si>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</x:si>
  <x:si>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</x:si>
  <x:si>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</x:si>
  <x:si>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</x:si>
  <x:si>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</x:si>
  <x:si>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</x:si>
  <x:si>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</x:si>
  <x:si>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</x:si>
  <x:si>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</x:si>
  <x:si>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</x:si>
  <x:si>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</x:si>
  <x:si>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</x:si>
  <x:si>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</x:si>
  <x:si>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</x:si>
  <x:si>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</x:si>
  <x:si>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</x:si>
  <x:si>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</x:si>
  <x:si>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</x:si>
  <x:si>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</x:si>
  <x:si>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</x:si>
  <x:si>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</x:si>
  <x:si>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</x:si>
  <x:si>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</x:si>
  <x:si>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</x:si>
  <x:si>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</x:si>
  <x:si>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</x:si>
  <x:si>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</x:si>
  <x:si>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</x:si>
  <x:si>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</x:si>
  <x:si>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</x:si>
  <x:si>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</x:si>
  <x:si>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</x:si>
  <x:si>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</x:si>
  <x:si>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</x:si>
  <x:si>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</x:si>
  <x:si>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</x:si>
  <x:si>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</x:si>
  <x:si>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</x:si>
  <x:si>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</x:si>
  <x:si>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</x:si>
  <x:si>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</x:si>
  <x:si>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</x:si>
  <x:si>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</x:si>
  <x:si>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</x:si>
  <x:si>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</x:si>
  <x:si>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</x:si>
  <x:si>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</x:si>
  <x:si>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</x:si>
  <x:si>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</x:si>
  <x:si>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</x:si>
  <x:si>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</x:si>
  <x:si>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</x:si>
  <x:si>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</x:si>
  <x:si>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</x:si>
  <x:si>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</x:si>
  <x:si>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</x:si>
  <x:si>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</x:si>
  <x:si>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</x:si>
  <x:si>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</x:si>
  <x:si>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</x:si>
  <x:si>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</x:si>
  <x:si>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</x:si>
  <x:si>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</x:si>
  <x:si>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</x:si>
  <x:si>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</x:si>
  <x:si>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</x:si>
  <x:si>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</x:si>
  <x:si>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</x:si>
  <x:si>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</x:si>
  <x:si>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</x:si>
  <x:si>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</x:si>
  <x:si>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</x:si>
  <x:si>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</x:si>
  <x:si>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</x:si>
  <x:si>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</x:si>
  <x:si>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</x:si>
  <x:si>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</x:si>
  <x:si>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</x:si>
  <x:si>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</x:si>
  <x:si>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</x:si>
  <x:si>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</x:si>
  <x:si>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</x:si>
  <x:si>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</x:si>
  <x:si>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</x:si>
  <x:si>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</x:si>
  <x:si>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</x:si>
  <x:si>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</x:si>
  <x:si>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</x:si>
  <x:si>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</x:si>
  <x:si>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</x:si>
  <x:si>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</x:si>
  <x:si>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</x:si>
  <x:si>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</x:si>
  <x:si>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</x:si>
  <x:si>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</x:si>
  <x:si>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</x:si>
  <x:si>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</x:si>
  <x:si>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</x:si>
  <x:si>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</x:si>
  <x:si>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</x:si>
  <x:si>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</x:si>
  <x:si>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</x:si>
  <x:si>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</x:si>
  <x:si>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</x:si>
  <x:si>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</x:si>
  <x:si>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</x:si>
  <x:si>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</x:si>
  <x:si>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</x:si>
  <x:si>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</x:si>
  <x:si>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</x:si>
  <x:si>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</x:si>
  <x:si>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</x:si>
  <x:si>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</x:si>
  <x:si>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</x:si>
  <x:si>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</x:si>
  <x:si>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</x:si>
  <x:si>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</x:si>
  <x:si>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</x:si>
  <x:si>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</x:si>
  <x:si>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</x:si>
  <x:si>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</x:si>
  <x:si>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</x:si>
  <x:si>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</x:si>
  <x:si>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</x:si>
  <x:si>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</x:si>
  <x:si>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</x:si>
  <x:si>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</x:si>
  <x:si>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</x:si>
  <x:si>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</x:si>
  <x:si>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</x:si>
  <x:si>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</x:si>
  <x:si>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</x:si>
  <x:si>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</x:si>
  <x:si>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</x:si>
  <x:si>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</x:si>
  <x:si>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</x:si>
  <x:si>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</x:si>
  <x:si>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</x:si>
  <x:si>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</x:si>
  <x:si>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</x:si>
  <x:si>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</x:si>
  <x:si>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</x:si>
  <x:si>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</x:si>
  <x:si>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</x:si>
  <x:si>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</x:si>
  <x:si>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</x:si>
  <x:si>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</x:si>
  <x:si>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</x:si>
  <x:si>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</x:si>
  <x:si>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</x:si>
  <x:si>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</x:si>
  <x:si>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</x:si>
  <x:si>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</x:si>
  <x:si>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</x:si>
  <x:si>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</x:si>
  <x:si>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</x:si>
  <x:si>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</x:si>
  <x:si>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</x:si>
  <x:si>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</x:si>
  <x:si>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</x:si>
  <x:si>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</x:si>
  <x:si>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</x:si>
  <x:si>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</x:si>
  <x:si>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</x:si>
  <x:si>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</x:si>
  <x:si>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</x:si>
  <x:si>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</x:si>
  <x:si>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</x:si>
  <x:si>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</x:si>
  <x:si>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</x:si>
  <x:si>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</x:si>
  <x:si>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</x:si>
  <x:si>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</x:si>
  <x:si>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</x:si>
  <x:si>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</x:si>
  <x:si>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</x:si>
  <x:si>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</x:si>
  <x:si>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</x:si>
  <x:si>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</x:si>
  <x:si>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</x:si>
  <x:si>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</x:si>
  <x:si>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</x:si>
  <x:si>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</x:si>
  <x:si>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</x:si>
  <x:si>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</x:si>
  <x:si>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</x:si>
  <x:si>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</x:si>
  <x:si>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</x:si>
  <x:si>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</x:si>
  <x:si>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</x:si>
  <x:si>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</x:si>
  <x:si>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</x:si>
  <x:si>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</x:si>
  <x:si>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</x:si>
  <x:si>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</x:si>
  <x:si>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</x:si>
  <x:si>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</x:si>
  <x:si>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</x:si>
  <x:si>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</x:si>
  <x:si>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</x:si>
  <x:si>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</x:si>
  <x:si>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</x:si>
  <x:si>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</x:si>
  <x:si>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</x:si>
  <x:si>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</x:si>
  <x:si>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</x:si>
  <x:si>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</x:si>
  <x:si>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</x:si>
  <x:si>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</x:si>
  <x:si>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</x:si>
  <x:si>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</x:si>
  <x:si>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</x:si>
  <x:si>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</x:si>
  <x:si>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</x:si>
  <x:si>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</x:si>
  <x:si>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</x:si>
  <x:si>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</x:si>
  <x:si>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</x:si>
  <x:si>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</x:si>
  <x:si>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</x:si>
  <x:si>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</x:si>
  <x:si>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</x:si>
  <x:si>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</x:si>
  <x:si>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</x:si>
  <x:si>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</x:si>
  <x:si>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</x:si>
  <x:si>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</x:si>
  <x:si>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</x:si>
  <x:si>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</x:si>
  <x:si>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</x:si>
  <x:si>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</x:si>
  <x:si>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</x:si>
  <x:si>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</x:si>
  <x:si>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</x:si>
  <x:si>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</x:si>
  <x:si>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</x:si>
  <x:si>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</x:si>
  <x:si>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</x:si>
  <x:si>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</x:si>
  <x:si>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</x:si>
  <x:si>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</x:si>
  <x:si>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</x:si>
  <x:si>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</x:si>
  <x:si>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</x:si>
  <x:si>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</x:si>
  <x:si>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</x:si>
  <x:si>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</x:si>
  <x:si>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</x:si>
  <x:si>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</x:si>
  <x:si>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</x:si>
  <x:si>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</x:si>
  <x:si>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</x:si>
  <x:si>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</x:si>
  <x:si>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</x:si>
  <x:si>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</x:si>
  <x:si>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</x:si>
  <x:si>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</x:si>
  <x:si>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</x:si>
  <x:si>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</x:si>
  <x:si>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</x:si>
  <x:si>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</x:si>
  <x:si>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</x:si>
  <x:si>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</x:si>
  <x:si>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</x:si>
  <x:si>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</x:si>
  <x:si>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</x:si>
  <x:si>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</x:si>
  <x:si>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</x:si>
  <x:si>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</x:si>
  <x:si>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</x:si>
  <x:si>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</x:si>
  <x:si>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</x:si>
  <x:si>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</x:si>
  <x:si>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</x:si>
  <x:si>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</x:si>
  <x:si>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</x:si>
  <x:si>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</x:si>
  <x:si>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</x:si>
  <x:si>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</x:si>
  <x:si>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</x:si>
  <x:si>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</x:si>
  <x:si>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</x:si>
  <x:si>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</x:si>
  <x:si>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</x:si>
  <x:si>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</x:si>
  <x:si>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</x:si>
  <x:si>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</x:si>
  <x:si>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</x:si>
  <x:si>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</x:si>
  <x:si>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</x:si>
  <x:si>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</x:si>
  <x:si>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</x:si>
  <x:si>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</x:si>
  <x:si>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</x:si>
  <x:si>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</x:si>
  <x:si>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</x:si>
  <x:si>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</x:si>
  <x:si>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</x:si>
  <x:si>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</x:si>
  <x:si>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</x:si>
  <x:si>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</x:si>
  <x:si>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</x:si>
  <x:si>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</x:si>
  <x:si>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</x:si>
  <x:si>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</x:si>
  <x:si>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</x:si>
  <x:si>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</x:si>
  <x:si>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</x:si>
  <x:si>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</x:si>
  <x:si>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</x:si>
  <x:si>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</x:si>
  <x:si>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</x:si>
  <x:si>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</x:si>
  <x:si>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</x:si>
  <x:si>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</x:si>
  <x:si>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</x:si>
  <x:si>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</x:si>
  <x:si>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</x:si>
  <x:si>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</x:si>
  <x:si>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</x:si>
  <x:si>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</x:si>
  <x:si>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</x:si>
  <x:si>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</x:si>
  <x:si>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</x:si>
  <x:si>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</x:si>
  <x:si>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</x:si>
  <x:si>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</x:si>
  <x:si>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</x:si>
  <x:si>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</x:si>
  <x:si>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</x:si>
  <x:si>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</x:si>
  <x:si>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</x:si>
  <x:si>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</x:si>
  <x:si>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</x:si>
  <x:si>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</x:si>
  <x:si>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</x:si>
  <x:si>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</x:si>
  <x:si>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</x:si>
  <x:si>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</x:si>
  <x:si>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</x:si>
  <x:si>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</x:si>
  <x:si>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</x:si>
  <x:si>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</x:si>
  <x:si>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</x:si>
  <x:si>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</x:si>
  <x:si>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</x:si>
  <x:si>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</x:si>
  <x:si>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</x:si>
  <x:si>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</x:si>
  <x:si>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</x:si>
  <x:si>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</x:si>
  <x:si>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</x:si>
  <x:si>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</x:si>
  <x:si>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</x:si>
  <x:si>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</x:si>
  <x:si>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</x:si>
  <x:si>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</x:si>
  <x:si>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</x:si>
  <x:si>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</x:si>
  <x:si>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</x:si>
  <x:si>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</x:si>
  <x:si>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</x:si>
  <x:si>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</x:si>
  <x:si>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</x:si>
  <x:si>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</x:si>
  <x:si>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</x:si>
  <x:si>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</x:si>
  <x:si>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</x:si>
  <x:si>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</x:si>
  <x:si>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</x:si>
  <x:si>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</x:si>
  <x:si>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</x:si>
  <x:si>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</x:si>
  <x:si>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</x:si>
  <x:si>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</x:si>
  <x:si>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</x:si>
  <x:si>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</x:si>
  <x:si>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</x:si>
  <x:si>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</x:si>
  <x:si>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</x:si>
  <x:si>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</x:si>
  <x:si>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</x:si>
  <x:si>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</x:si>
  <x:si>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</x:si>
  <x:si>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</x:si>
  <x:si>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</x:si>
  <x:si>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</x:si>
  <x:si>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</x:si>
  <x:si>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</x:si>
  <x:si>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</x:si>
  <x:si>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</x:si>
  <x:si>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</x:si>
  <x:si>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</x:si>
  <x:si>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</x:si>
  <x:si>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</x:si>
  <x:si>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</x:si>
  <x:si>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</x:si>
  <x:si>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</x:si>
  <x:si>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</x:si>
  <x:si>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</x:si>
  <x:si>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</x:si>
  <x:si>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</x:si>
  <x:si>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</x:si>
  <x:si>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</x:si>
  <x:si>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</x:si>
  <x:si>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</x:si>
  <x:si>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</x:si>
  <x:si>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</x:si>
  <x:si>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</x:si>
  <x:si>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</x:si>
  <x:si>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</x:si>
  <x:si>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</x:si>
  <x:si>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</x:si>
  <x:si>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</x:si>
  <x:si>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</x:si>
  <x:si>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</x:si>
  <x:si>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</x:si>
  <x:si>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</x:si>
  <x:si>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</x:si>
  <x:si>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</x:si>
  <x:si>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</x:si>
  <x:si>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</x:si>
  <x:si>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</x:si>
  <x:si>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</x:si>
  <x:si>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</x:si>
  <x:si>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</x:si>
  <x:si>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</x:si>
  <x:si>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</x:si>
  <x:si>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</x:si>
  <x:si>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</x:si>
  <x:si>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</x:si>
  <x:si>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</x:si>
  <x:si>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</x:si>
  <x:si>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</x:si>
  <x:si>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</x:si>
  <x:si>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</x:si>
  <x:si>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</x:si>
  <x:si>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</x:si>
  <x:si>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</x:si>
  <x:si>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</x:si>
  <x:si>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</x:si>
  <x:si>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</x:si>
  <x:si>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</x:si>
  <x:si>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</x:si>
  <x:si>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</x:si>
  <x:si>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</x:si>
  <x:si>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</x:si>
  <x:si>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</x:si>
  <x:si>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</x:si>
  <x:si>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</x:si>
  <x:si>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</x:si>
  <x:si>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</x:si>
  <x:si>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</x:si>
  <x:si>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</x:si>
  <x:si>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</x:si>
  <x:si>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</x:si>
  <x:si>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</x:si>
  <x:si>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</x:si>
  <x:si>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</x:si>
  <x:si>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</x:si>
  <x:si>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</x:si>
  <x:si>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</x:si>
  <x:si>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</x:si>
  <x:si>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</x:si>
  <x:si>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</x:si>
  <x:si>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</x:si>
  <x:si>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</x:si>
  <x:si>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</x:si>
  <x:si>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</x:si>
  <x:si>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</x:si>
  <x:si>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</x:si>
  <x:si>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</x:si>
  <x:si>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</x:si>
  <x:si>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</x:si>
  <x:si>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</x:si>
  <x:si>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</x:si>
  <x:si>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</x:si>
  <x:si>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</x:si>
  <x:si>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</x:si>
  <x:si>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</x:si>
  <x:si>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</x:si>
  <x:si>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</x:si>
  <x:si>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</x:si>
  <x:si>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</x:si>
  <x:si>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</x:si>
  <x:si>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</x:si>
  <x:si>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</x:si>
  <x:si>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</x:si>
  <x:si>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</x:si>
  <x:si>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</x:si>
  <x:si>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</x:si>
  <x:si>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</x:si>
  <x:si>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</x:si>
  <x:si>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</x:si>
  <x:si>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</x:si>
  <x:si>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</x:si>
  <x:si>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</x:si>
  <x:si>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</x:si>
  <x:si>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</x:si>
  <x:si>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</x:si>
  <x:si>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</x:si>
  <x:si>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</x:si>
  <x:si>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</x:si>
  <x:si>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</x:si>
  <x:si>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</x:si>
  <x:si>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</x:si>
  <x:si>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</x:si>
  <x:si>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</x:si>
  <x:si>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</x:si>
  <x:si>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</x:si>
  <x:si>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</x:si>
  <x:si>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</x:si>
  <x:si>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</x:si>
  <x:si>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</x:si>
  <x:si>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</x:si>
  <x:si>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</x:si>
  <x:si>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</x:si>
  <x:si>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</x:si>
  <x:si>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</x:si>
  <x:si>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Pass (warnings)</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</x:si>
  <x:si>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</x:si>
  <x:si>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</x:si>
  <x:si>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</x:si>
  <x:si>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</x:si>
  <x:si>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</x:si>
  <x:si>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</x:si>
  <x:si>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</x:si>
  <x:si>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</x:si>
  <x:si>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</x:si>
  <x:si>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</x:si>
  <x:si>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</x:si>
  <x:si>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</x:si>
  <x:si>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Phase 1 bootstrap syntax/build checks</x:t>
  </x:si>
  <x:si>
    <x:t xml:space="preserve">Pass. node --check succeeded for backend/server.js and dental-backend/index.js; Vite frontend build passed with known warnings.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</x:si>
  <x:si>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</x:si>
  <x:si>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</x:si>
  <x:si>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</x:si>
  <x:si>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</x:si>
  <x:si>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</x:si>
  <x:si>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</x:si>
  <x:si>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</x:si>
  <x:si>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</x:si>
  <x:si>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</x:si>
  <x:si>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</x:si>
  <x:si>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</x:si>
  <x:si>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</x:si>
  <x:si>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</x:si>
  <x:si>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</x:si>
  <x:si>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</x:si>
  <x:si>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</x:si>
  <x:si>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</x:si>
  <x:si>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</x:si>
  <x:si>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</x:si>
  <x:si>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</x:si>
  <x:si>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</x:si>
  <x:si>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</x:si>
  <x:si>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</x:si>
  <x:si>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</x:si>
  <x:si>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</x:si>
  <x:si>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</x:si>
  <x:si>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Phase 2 is deployed and verified on AWS. Remaining work is lifecycle automation for enrollment/revocation when clinics and users are added or removed.</x:t>
  </x:si>
  <x:si>
    <x:t xml:space="preserve">Mobile app runtime</x:t>
  </x:si>
  <x:si>
    <x:t xml:space="preserve">Mobile sign-in and request/consent calls now use JWT plus the login blockchainID; broader mobile screens still include static/placeholder workflows.</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</x:si>
  <x:si>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</x:si>
  <x:si>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</x:si>
  <x:si>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</x:si>
  <x:si>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</x:si>
  <x:si>
    <x:t xml:space="preserve">Patient blockchain identity mapping</x:t>
  </x:si>
  <x:si>
    <x:t xml:space="preserve">Source-level mapping and AWS runtime verification passed 2026-07-11; Patient1-Patient3 mappings are present in the live database.</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</x:si>
  <x:si>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</x:si>
  <x:si>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</x:si>
  <x:si>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</x:si>
  <x:si>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</x:si>
  <x:si>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</x:si>
  <x:si>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</x:si>
  <x:si>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</x:si>
  <x:si>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</x:si>
  <x:si>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Required On AWS VM</x:t>
  </x:si>
  <x:si>
    <x:t xml:space="preserve">Source / Path</x:t>
  </x:si>
  <x:si>
    <x:t xml:space="preserve">Action / Command</x:t>
  </x:si>
  <x:si>
    <x:t xml:space="preserve">Status / Notes</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</x:si>
  <x:si>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</x:si>
  <x:si>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</x:si>
  <x:si>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</x:si>
  <x:si>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</x:si>
  <x:si>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</x:si>
  <x:si>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</x:si>
  <x:si>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</x:si>
  <x:si>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</x:si>
  <x:si>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</x:si>
  <x:si>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</x:si>
  <x:si>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</x:si>
  <x:si>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</x:si>
  <x:si>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</x:si>
  <x:si>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</x:si>
  <x:si>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</x:si>
  <x:si>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</x:si>
  <x:si>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</x:si>
  <x:si>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</x:si>
  <x:si>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</x:si>
  <x:si>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</x:si>
  <x:si>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</x:si>
  <x:si>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</x:si>
  <x:si>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</x:si>
  <x:si>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</x:si>
  <x:si>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</x:si>
  <x:si>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</x:si>
  <x:si>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</x:si>
  <x:si>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</x:si>
  <x:si>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</x:si>
  <x:si>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</x:si>
  <x:si>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</x:si>
  <x:si>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</x:si>
  <x:si>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</x:si>
  <x:si>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</x:si>
  <x:si>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</x:si>
  <x:si>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</x:si>
  <x:si>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</x:si>
  <x:si>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</x:si>
  <x:si>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</x:si>
  <x:si>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</x:si>
  <x:si>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</x:si>
  <x:si>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</x:si>
  <x:si>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</x:si>
  <x:si>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</x:si>
  <x:si>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</x:si>
  <x:si>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</x:si>
  <x:si>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</x:si>
  <x:si>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</x:si>
  <x:si>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</x:si>
  <x:si>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</x:si>
  <x:si>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</x:si>
  <x:si>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</x:si>
  <x:si>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</x:si>
  <x:si>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</x:si>
  <x:si>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</x:si>
  <x:si>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</x:si>
  <x:si>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</x:si>
  <x:si>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</x:si>
  <x:si>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</x:si>
  <x:si>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</x:si>
  <x:si>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</x:si>
  <x:si>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</x:si>
  <x:si>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</x:si>
  <x:si>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</x:si>
  <x:si>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</x:si>
  <x:si>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</x:si>
  <x:si>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</x:si>
  <x:si>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</x:si>
  <x:si>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</x:si>
  <x:si>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</x:si>
  <x:si>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</x:si>
  <x:si>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</x:si>
  <x:si>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</x:si>
  <x:si>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</x:si>
  <x:si>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</x:si>
  <x:si>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</x:si>
  <x:si>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</x:si>
  <x:si>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</x:si>
  <x:si>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</x:si>
  <x:si>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</x:si>
  <x:si>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</x:si>
  <x:si>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</x:si>
  <x:si>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</x:si>
  <x:si>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</x:si>
  <x:si>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</x:si>
  <x:si>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</x:si>
  <x:si>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</x:si>
  <x:si>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</x:si>
  <x:si>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SRS Section 5 API gateway parity</x:t>
  </x:si>
  <x:si>
    <x:t xml:space="preserve">Phase 3</x:t>
  </x:si>
</x:sst>
</file>

<file path=xl/styles.xml><?xml version="1.0" encoding="utf-8"?>
<x:styleSheet xmlns:x="http://schemas.openxmlformats.org/spreadsheetml/2006/main">
  <x:numFmts count="1">
    <x:numFmt numFmtId="164" formatCode="m/d/yy"/>
  </x:numFmts>
  <x:fonts count="22">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s>
  <x:fills count="19">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FFFFFF"/>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s>
  <x:borders count="6">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56">
    <x:xf numFmtId="0" fontId="0" fillId="0" borderId="0" xfId="0"/>
    <x:xf numFmtId="0" fontId="11" fillId="0" borderId="0" xfId="0" applyFont="1"/>
    <x:xf numFmtId="0" fontId="12" fillId="0" borderId="0" xfId="0" applyFont="1"/>
    <x:xf numFmtId="0" fontId="14" fillId="0" borderId="0" xfId="0" applyFont="1"/>
    <x:xf numFmtId="0" fontId="2" fillId="2" borderId="1" xfId="0" applyFont="1" applyFill="1" applyBorder="1"/>
    <x:xf numFmtId="0" fontId="4" fillId="3" borderId="2" xfId="0" applyFont="1" applyFill="1" applyBorder="1"/>
    <x:xf numFmtId="0" fontId="0" fillId="0" borderId="2" xfId="0" applyBorder="1" applyAlignment="1">
      <x:alignment horizontal="center"/>
    </x:xf>
    <x:xf numFmtId="0" fontId="5" fillId="4" borderId="2" xfId="0" applyFont="1" applyFill="1" applyBorder="1"/>
    <x:xf numFmtId="0" fontId="6" fillId="5" borderId="2" xfId="0" applyFont="1" applyFill="1" applyBorder="1"/>
    <x:xf numFmtId="0" fontId="7" fillId="6" borderId="2" xfId="0" applyFont="1" applyFill="1" applyBorder="1"/>
    <x:xf numFmtId="0" fontId="0" fillId="0" borderId="2" xfId="0" applyBorder="1"/>
    <x:xf numFmtId="0" fontId="14" fillId="0" borderId="2" xfId="0" applyFont="1" applyBorder="1"/>
    <x:xf numFmtId="0" fontId="0" fillId="0" borderId="3" xfId="0" applyBorder="1"/>
    <x:xf numFmtId="0" fontId="0" fillId="0" borderId="3" xfId="0" applyBorder="1" applyAlignment="1">
      <x:alignment horizontal="center"/>
    </x:xf>
    <x:xf numFmtId="0" fontId="0" fillId="0" borderId="1" xfId="0" applyBorder="1"/>
    <x:xf numFmtId="0" fontId="1" fillId="9" borderId="4" xfId="0" applyFont="1" applyFill="1" applyBorder="1"/>
    <x:xf numFmtId="0" fontId="1" fillId="9" borderId="4" xfId="0" applyFont="1" applyFill="1" applyBorder="1" applyAlignment="1">
      <x:alignment horizontal="center"/>
    </x:xf>
    <x:xf numFmtId="164" fontId="0" fillId="0" borderId="0" xfId="0" applyNumberFormat="1"/>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6" fillId="10" borderId="5" xfId="0" applyFont="1" applyFill="1" applyBorder="1" applyAlignment="1">
      <x:alignment vertical="center" wrapText="1"/>
    </x:xf>
    <x:xf numFmtId="0" fontId="16" fillId="12" borderId="1" xfId="0" applyFont="1" applyFill="1" applyBorder="1" applyAlignment="1">
      <x:alignment vertical="center" wrapText="1"/>
    </x:xf>
    <x:xf numFmtId="0" fontId="16" fillId="15" borderId="0" xfId="0" applyFont="1" applyFill="1" applyAlignment="1">
      <x:alignment vertical="center" wrapText="1"/>
    </x:xf>
    <x:xf numFmtId="0" fontId="16" fillId="12" borderId="0" xfId="0" applyFont="1" applyFill="1" applyAlignment="1">
      <x:alignment vertical="center" wrapText="1"/>
    </x:xf>
    <x:xf numFmtId="0" fontId="13" fillId="8" borderId="0" xfId="0" applyFont="1" applyFill="1" applyAlignment="1">
      <x:alignment vertical="top" wrapText="1"/>
    </x:xf>
    <x:xf numFmtId="0" fontId="0" fillId="0" borderId="3" xfId="0" applyFont="1" applyFill="1" applyBorder="1" applyAlignment="1">
      <x:alignment horizontal="center"/>
    </x:xf>
    <x:xf numFmtId="0" fontId="20" fillId="17" borderId="3" xfId="0" applyFont="1" applyFill="1" applyBorder="1"/>
    <x:xf numFmtId="0" fontId="21" fillId="18" borderId="3" xfId="0" applyFont="1" applyFill="1" applyBorder="1"/>
    <x:xf numFmtId="0" fontId="19" fillId="16" borderId="3" xfId="0" applyFont="1" applyFill="1" applyBorder="1"/>
    <x:xf numFmtId="0" fontId="0" fillId="0" borderId="0" xfId="0" applyAlignment="1">
      <x:alignment vertical="center"/>
    </x:xf>
    <x:xf numFmtId="0" fontId="17" fillId="0" borderId="2" xfId="0" applyFont="1" applyFill="1" applyBorder="1" applyAlignment="1">
      <x:alignment horizontal="center" vertical="center" wrapText="1"/>
    </x:xf>
    <x:xf numFmtId="0" fontId="15" fillId="13" borderId="2" xfId="0" applyFont="1" applyFill="1" applyBorder="1" applyAlignment="1">
      <x:alignment horizontal="center" vertical="center" wrapText="1"/>
    </x:xf>
    <x:xf numFmtId="0" fontId="3" fillId="0" borderId="2" xfId="0" applyFont="1" applyFill="1" applyBorder="1" applyAlignment="1">
      <x:alignment vertical="center" wrapText="1"/>
    </x:xf>
    <x:xf numFmtId="0" fontId="3" fillId="0" borderId="2" xfId="0" applyFont="1" applyFill="1" applyBorder="1" applyAlignment="1">
      <x:alignment horizontal="left" vertical="center" wrapText="1"/>
    </x:xf>
    <x:xf numFmtId="16" fontId="3" fillId="0" borderId="2" xfId="0" applyNumberFormat="1" applyFont="1" applyFill="1" applyBorder="1" applyAlignment="1">
      <x:alignment horizontal="left" vertical="center" wrapText="1"/>
    </x:xf>
    <x:xf numFmtId="17" fontId="3" fillId="0" borderId="2" xfId="0" applyNumberFormat="1" applyFont="1" applyFill="1" applyBorder="1" applyAlignment="1">
      <x:alignment horizontal="left" vertical="center" wrapText="1"/>
    </x:xf>
    <x:xf numFmtId="0" fontId="17" fillId="0" borderId="3" xfId="0" applyFont="1" applyFill="1" applyBorder="1" applyAlignment="1">
      <x:alignment horizontal="center" vertical="center" wrapText="1"/>
    </x:xf>
    <x:xf numFmtId="0" fontId="15" fillId="13" borderId="3" xfId="0" applyFont="1" applyFill="1" applyBorder="1" applyAlignment="1">
      <x:alignment horizontal="center" vertical="center" wrapText="1"/>
    </x:xf>
    <x:xf numFmtId="0" fontId="3" fillId="0" borderId="3" xfId="0" applyFont="1" applyFill="1" applyBorder="1" applyAlignment="1">
      <x:alignment vertical="center" wrapText="1"/>
    </x:xf>
    <x:xf numFmtId="0" fontId="3" fillId="0" borderId="3" xfId="0" applyFont="1" applyFill="1" applyBorder="1" applyAlignment="1">
      <x:alignment horizontal="left" vertical="center" wrapText="1"/>
    </x:xf>
    <x:xf numFmtId="0" fontId="17" fillId="0" borderId="0" xfId="0" applyFont="1" applyFill="1" applyAlignment="1">
      <x:alignment horizontal="center" vertical="center" wrapText="1"/>
    </x:xf>
    <x:xf numFmtId="0" fontId="15" fillId="13" borderId="0" xfId="0" applyFont="1" applyFill="1" applyAlignment="1">
      <x:alignment horizontal="center" vertical="center" wrapText="1"/>
    </x:xf>
    <x:xf numFmtId="0" fontId="3" fillId="0" borderId="0" xfId="0" applyFont="1" applyFill="1" applyAlignment="1">
      <x:alignment vertical="center" wrapText="1"/>
    </x:xf>
    <x:xf numFmtId="0" fontId="3" fillId="0" borderId="0" xfId="0" applyFont="1" applyAlignment="1">
      <x:alignment horizontal="center" vertical="center" wrapText="1"/>
    </x:xf>
    <x:xf numFmtId="0" fontId="3" fillId="0" borderId="0" xfId="0" applyFont="1" applyAlignment="1">
      <x:alignment vertical="center" wrapText="1"/>
    </x:xf>
    <x:xf numFmtId="0" fontId="0" fillId="0" borderId="0" xfId="0" applyAlignment="1">
      <x:alignment horizontal="center" vertical="center"/>
    </x:xf>
    <x:xf numFmtId="0" fontId="16" fillId="14" borderId="0" xfId="0" applyFont="1" applyFill="1" applyAlignment="1">
      <x:alignment horizontal="left" vertical="center" wrapText="1"/>
    </x:xf>
    <x:xf numFmtId="0" fontId="0" fillId="0" borderId="0" xfId="0" applyAlignment="1">
      <x:alignment horizontal="left" vertical="center"/>
    </x:xf>
    <x:xf numFmtId="0" fontId="18" fillId="0" borderId="0" xfId="0" applyFont="1" applyFill="1" applyAlignment="1">
      <x:alignment horizontal="center" vertical="center" wrapText="1"/>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17" fillId="11" borderId="5" xfId="0" applyFont="1" applyFill="1" applyBorder="1" applyAlignment="1">
      <x:alignment vertical="center" wrapText="1"/>
    </x:xf>
    <x:xf numFmtId="0" fontId="17" fillId="11" borderId="0" xfId="0" applyFont="1" applyFill="1" applyAlignment="1">
      <x:alignment vertical="center" wrapText="1"/>
    </x:xf>
  </x:cellXfs>
  <x:cellStyles count="1">
    <x:cellStyle name="Normal" xfId="0"/>
  </x:cellStyles>
  <x:dxfs count="42">
    <x:dxf>
      <x:font>
        <x:sz val="10"/>
        <x:name val="Aptos Narrow"/>
      </x:font>
    </x:dxf>
    <x:dxf>
      <x:font>
        <x:b/>
        <x:sz val="10"/>
        <x:color rgb="FFFFFFFF"/>
        <x:name val="Aptos Narrow"/>
      </x:font>
      <x:fill>
        <x:patternFill>
          <x:bgColor indexed="64"/>
        </x:patternFill>
      </x:fill>
    </x:dxf>
    <x:dxf>
      <x:font>
        <x:sz val="10"/>
        <x:name val="Aptos Narrow"/>
      </x:font>
    </x:dxf>
    <x:dxf>
      <x:font>
        <x:sz val="10"/>
        <x:name val="Aptos Narrow"/>
      </x:font>
    </x:dxf>
    <x:dxf>
      <x:font>
        <x:sz val="10"/>
        <x:name val="Aptos Narrow"/>
      </x:font>
    </x:dxf>
    <x:dxf>
      <x:font>
        <x:b/>
        <x:sz val="10"/>
        <x:color rgb="FFFFFFFF"/>
        <x:name val="Aptos Narrow"/>
      </x:font>
      <x:fill>
        <x:patternFill>
          <x:bgColor indexed="64"/>
        </x:patternFill>
      </x:fill>
    </x:dxf>
    <x:dxf>
      <x:font>
        <x:b/>
        <x:sz val="10"/>
        <x:color rgb="FF000000"/>
        <x:name val="Aptos Narrow"/>
      </x:font>
      <x:fill>
        <x:patternFill patternType="none"/>
      </x:fill>
    </x:dxf>
    <x:dxf>
      <x:font>
        <x:sz val="10"/>
        <x:name val="Aptos Narrow"/>
      </x:font>
    </x:dxf>
    <x:dxf>
      <x:font>
        <x:sz val="10"/>
        <x:name val="Aptos Narrow"/>
      </x:font>
    </x:dxf>
    <x:dxf>
      <x:font>
        <x:b/>
        <x:color rgb="FF375623"/>
      </x:font>
      <x:fill>
        <x:patternFill>
          <x:bgColor indexed="64"/>
        </x:patternFill>
      </x:fill>
    </x:dxf>
    <x:dxf>
      <x:font>
        <x:b/>
        <x:color rgb="FF806000"/>
      </x:font>
      <x:fill>
        <x:patternFill>
          <x:bgColor indexed="64"/>
        </x:patternFill>
      </x:fill>
    </x:dxf>
    <x:dxf>
      <x:font>
        <x:b/>
        <x:color rgb="FF843C0C"/>
      </x:font>
      <x:fill>
        <x:patternFill>
          <x:bgColor indexed="64"/>
        </x:patternFill>
      </x:fill>
    </x:dxf>
    <x:dxf>
      <x:font>
        <x:color rgb="FF806000"/>
      </x:font>
      <x:fill>
        <x:patternFill>
          <x:bgColor indexed="64"/>
        </x:patternFill>
      </x:fill>
    </x:dxf>
    <x:dxf>
      <x:font>
        <x:color rgb="FF006100"/>
      </x:font>
      <x:fill>
        <x:patternFill>
          <x:bgColor indexed="64"/>
        </x:patternFill>
      </x:fill>
    </x:dxf>
    <x:dxf>
      <x:font>
        <x:b/>
        <x:color rgb="FF843C0C"/>
      </x:font>
      <x:fill>
        <x:patternFill>
          <x:bgColor indexed="64"/>
        </x:patternFill>
      </x:fill>
    </x:dxf>
    <x:dxf>
      <x:font>
        <x:b/>
        <x:color rgb="FF215868"/>
      </x:font>
      <x:fill>
        <x:patternFill>
          <x:bgColor indexed="64"/>
        </x:patternFill>
      </x:fill>
    </x:dxf>
    <x:dxf>
      <x:font>
        <x:b/>
        <x:color rgb="FF5A4A82"/>
      </x:font>
      <x:fill>
        <x:patternFill>
          <x:bgColor indexed="64"/>
        </x:patternFill>
      </x:fill>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b/>
        <x:sz val="10"/>
        <x:color rgb="FFFFFFFF"/>
        <x:name val="Aptos Narrow"/>
      </x:font>
      <x:fill>
        <x:patternFill>
          <x:bgColor indexed="64"/>
        </x:patternFill>
      </x:fill>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font>
        <x:b/>
        <x:sz val="10"/>
        <x:color rgb="FFFFFFFF"/>
        <x:name val="Aptos Narrow"/>
      </x:font>
      <x:fill>
        <x:patternFill>
          <x:bgColor indexed="64"/>
        </x:patternFill>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b/>
        <x:sz val="10"/>
        <x:color rgb="FF1F4E79"/>
        <x:name val="Aptos Narrow"/>
      </x:font>
      <x:fill>
        <x:patternFill>
          <x:bgColor indexed="64"/>
        </x:patternFill>
      </x:fill>
    </x:dxf>
    <x:dxf>
      <x:font>
        <x:b/>
        <x:sz val="10"/>
        <x:color rgb="FF1F3A5F"/>
        <x:name val="Aptos Narrow"/>
      </x:font>
      <x:fill>
        <x:patternFill patternType="none"/>
      </x:fill>
    </x:dxf>
    <x:dxf>
      <x:border>
        <x:bottom style="thin">
          <x:color rgb="FFD9D9D9"/>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fdcc1385ec1042b9" /><Relationship Type="http://schemas.openxmlformats.org/officeDocument/2006/relationships/theme" Target="/xl/theme/theme1.xml" Id="R1fecc31558104965" /><Relationship Type="http://schemas.openxmlformats.org/officeDocument/2006/relationships/sharedStrings" Target="/xl/sharedStrings.xml" Id="R0b26e4b9974243bf" /><Relationship Type="http://schemas.openxmlformats.org/officeDocument/2006/relationships/worksheet" Target="/xl/worksheets/sheet1.xml" Id="Rc3bd67fe642b4080" /><Relationship Type="http://schemas.openxmlformats.org/officeDocument/2006/relationships/worksheet" Target="/xl/worksheets/sheet2.xml" Id="R5b314ad488274a29" /><Relationship Type="http://schemas.openxmlformats.org/officeDocument/2006/relationships/worksheet" Target="/xl/worksheets/sheet3.xml" Id="Rbe43d9f90321443d" /><Relationship Type="http://schemas.openxmlformats.org/officeDocument/2006/relationships/worksheet" Target="/xl/worksheets/sheet4.xml" Id="R9dfa49224c8642dd" /><Relationship Type="http://schemas.openxmlformats.org/officeDocument/2006/relationships/worksheet" Target="/xl/worksheets/sheet5.xml" Id="Ra7a03369eed24136" /><Relationship Type="http://schemas.openxmlformats.org/officeDocument/2006/relationships/worksheet" Target="/xl/worksheets/sheet6.xml" Id="R9df11f6551ad456a" /><Relationship Type="http://schemas.openxmlformats.org/officeDocument/2006/relationships/worksheet" Target="/xl/worksheets/sheet7.xml" Id="R947a7657488c4413" /></Relationships>
</file>

<file path=xl/drawings/_rels/drawing1.xml.rels>&#65279;<?xml version="1.0" encoding="utf-8"?><Relationships xmlns="http://schemas.openxmlformats.org/package/2006/relationships"><Relationship Type="http://schemas.openxmlformats.org/officeDocument/2006/relationships/chart" Target="/xl/drawings/charts/chart1.xml" Id="Ra607054e34d8465a"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47</c:v>
                </c:pt>
                <c:pt idx="1">
                  <c:v>15</c:v>
                </c:pt>
                <c:pt idx="2">
                  <c:v>13</c:v>
                </c:pt>
                <c:pt idx="3">
                  <c:v>11</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607054e34d8465a"/>
        </a:graphicData>
      </a:graphic>
    </xdr:graphicFrame>
    <xdr:clientData/>
  </xdr:twoCellAnchor>
</xdr:wsDr>
</file>

<file path=xl/tables/table1.xml><?xml version="1.0" encoding="utf-8"?>
<x:table xmlns:x="http://schemas.openxmlformats.org/spreadsheetml/2006/main" id="1" name="ChangesTable" displayName="ChangesTable" ref="A1:G91" totalsRowShown="0" dataDxfId="32" headerRowBorderDxfId="41">
  <x:autoFilter ref="A1:G91"/>
  <x:tableColumns count="7">
    <x:tableColumn id="1" name="ID" dataDxfId="40"/>
    <x:tableColumn id="2" name="Category" dataDxfId="39"/>
    <x:tableColumn id="3" name="File" dataDxfId="38"/>
    <x:tableColumn id="4" name="Lines Changed" dataDxfId="37"/>
    <x:tableColumn id="5" name="Original Logic / Config" dataDxfId="36"/>
    <x:tableColumn id="6" name="Updated Logic / Config" dataDxfId="35"/>
    <x:tableColumn id="7" name="Reason / Fix" dataDxfId="34"/>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28">
  <x:autoFilter ref="A1:E10"/>
  <x:tableColumns count="5">
    <x:tableColumn id="1" name="ID" dataDxfId="26"/>
    <x:tableColumn id="2" name="Path" dataDxfId="27"/>
    <x:tableColumn id="3" name="Type" dataDxfId="31"/>
    <x:tableColumn id="4" name="What Changed" dataDxfId="30"/>
    <x:tableColumn id="5" name="Purpose / Note" dataDxfId="29"/>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28" totalsRowShown="0" dataDxfId="4">
  <x:autoFilter ref="A1:C28"/>
  <x:tableColumns count="3">
    <x:tableColumn id="1" name="Verification Item" dataDxfId="8"/>
    <x:tableColumn id="2" name="Result" dataDxfId="7"/>
    <x:tableColumn id="3" name="Status" dataDxfId="6"/>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2" totalsRowShown="0">
  <x:autoFilter ref="A1:B12"/>
  <x:tableColumns count="2">
    <x:tableColumn id="1" name="Item" dataDxfId="3"/>
    <x:tableColumn id="2" name="Status / Note" dataDxfId="2"/>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09adf9b63f144e8" /></Relationships>
</file>

<file path=xl/worksheets/_rels/sheet2.xml.rels>&#65279;<?xml version="1.0" encoding="utf-8"?><Relationships xmlns="http://schemas.openxmlformats.org/package/2006/relationships"><Relationship Type="http://schemas.openxmlformats.org/officeDocument/2006/relationships/table" Target="/xl/tables/table1.xml" Id="R4a7c32b0810e4259" /></Relationships>
</file>

<file path=xl/worksheets/_rels/sheet3.xml.rels>&#65279;<?xml version="1.0" encoding="utf-8"?><Relationships xmlns="http://schemas.openxmlformats.org/package/2006/relationships"><Relationship Type="http://schemas.openxmlformats.org/officeDocument/2006/relationships/table" Target="/xl/tables/table2.xml" Id="R83a637c6425b46ea" /></Relationships>
</file>

<file path=xl/worksheets/_rels/sheet4.xml.rels>&#65279;<?xml version="1.0" encoding="utf-8"?><Relationships xmlns="http://schemas.openxmlformats.org/package/2006/relationships"><Relationship Type="http://schemas.openxmlformats.org/officeDocument/2006/relationships/table" Target="/xl/tables/table3.xml" Id="R857961ab23204b6e" /></Relationships>
</file>

<file path=xl/worksheets/_rels/sheet5.xml.rels>&#65279;<?xml version="1.0" encoding="utf-8"?><Relationships xmlns="http://schemas.openxmlformats.org/package/2006/relationships"><Relationship Type="http://schemas.openxmlformats.org/officeDocument/2006/relationships/table" Target="/xl/tables/table4.xml" Id="R2ad1a57f3f6149b0"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18" t="s">
        <x:v>0</x:v>
      </x:c>
      <x:c r="C2" s="19"/>
      <x:c r="D2" s="19"/>
      <x:c r="E2" s="19"/>
      <x:c r="F2" s="19"/>
      <x:c r="G2" s="19"/>
      <x:c r="H2" s="19"/>
      <x:c r="I2" s="19"/>
    </x:row>
    <x:row r="3" ht="24" customHeight="1">
      <x:c r="B3" s="20" t="s">
        <x:v>1</x:v>
      </x:c>
      <x:c r="C3" s="19"/>
      <x:c r="D3" s="19"/>
      <x:c r="E3" s="19"/>
      <x:c r="F3" s="19"/>
      <x:c r="G3" s="19"/>
      <x:c r="H3" s="19"/>
      <x:c r="I3" s="19"/>
    </x:row>
    <x:row r="5">
      <x:c r="B5" s="1" t="s">
        <x:v>2</x:v>
      </x:c>
      <x:c r="C5" t="s">
        <x:v>3</x:v>
      </x:c>
    </x:row>
    <x:row r="6">
      <x:c r="B6" s="1" t="s">
        <x:v>4</x:v>
      </x:c>
      <x:c r="C6" s="17">
        <x:v>46214</x:v>
      </x:c>
    </x:row>
    <x:row r="7">
      <x:c r="B7" s="1" t="s">
        <x:v>5</x:v>
      </x:c>
      <x:c r="C7" s="2" t="s">
        <x:v>6</x:v>
      </x:c>
    </x:row>
    <x:row r="9">
      <x:c r="B9" s="25" t="s">
        <x:v>7</x:v>
      </x:c>
      <x:c r="C9" s="19"/>
      <x:c r="D9" s="19"/>
      <x:c r="E9" s="19"/>
      <x:c r="F9" s="19"/>
      <x:c r="G9" s="19"/>
      <x:c r="H9" s="19"/>
      <x:c r="I9" s="19"/>
    </x:row>
    <x:row r="11" ht="17.25">
      <x:c r="B11" s="3" t="s">
        <x:v>8</x:v>
      </x:c>
    </x:row>
    <x:row r="12">
      <x:c r="B12" s="4" t="s">
        <x:v>9</x:v>
      </x:c>
      <x:c r="C12" s="4" t="s">
        <x:v>10</x:v>
      </x:c>
    </x:row>
    <x:row r="13">
      <x:c r="B13" s="5" t="s">
        <x:v>11</x:v>
      </x:c>
      <x:c r="C13" s="6" t="n">
        <x:f>COUNTIF(ChangesTable[Category],"Code")</x:f>
        <x:v>47</x:v>
      </x:c>
    </x:row>
    <x:row r="14">
      <x:c r="B14" s="7" t="s">
        <x:v>12</x:v>
      </x:c>
      <x:c r="C14" s="6" t="n">
        <x:f>COUNTIF(ChangesTable[Category],"Configuration")</x:f>
        <x:v>15</x:v>
      </x:c>
    </x:row>
    <x:row r="15">
      <x:c r="B15" s="8" t="s">
        <x:v>13</x:v>
      </x:c>
      <x:c r="C15" s="6" t="n">
        <x:f>COUNTIF(ChangesTable[Category],"Fabric / Docker")</x:f>
        <x:v>13</x:v>
      </x:c>
    </x:row>
    <x:row r="16">
      <x:c r="B16" s="9" t="s">
        <x:v>14</x:v>
      </x:c>
      <x:c r="C16" s="6" t="n">
        <x:f>COUNTIF(ChangesTable[Category],"Documentation")</x:f>
        <x:v>11</x:v>
      </x:c>
    </x:row>
    <x:row r="17">
      <x:c r="B17" s="27" t="s">
        <x:v>15</x:v>
      </x:c>
      <x:c r="C17" s="26" t="n">
        <x:f>COUNTIF(ChangesTable[Category],"Fabric Identity")</x:f>
        <x:v>1</x:v>
      </x:c>
    </x:row>
    <x:row r="18">
      <x:c r="B18" s="28" t="s">
        <x:v>16</x:v>
      </x:c>
      <x:c r="C18" s="26" t="n">
        <x:f>COUNTIF(ChangesTable[Category],"Fabric / Chaincode")</x:f>
        <x:v>2</x:v>
      </x:c>
    </x:row>
    <x:row r="19">
      <x:c r="B19" s="29" t="s">
        <x:v>17</x:v>
      </x:c>
      <x:c r="C19" s="26" t="n">
        <x:f>COUNTIF(ChangesTable[Category],"Tests / Deployment")</x:f>
        <x:v>1</x:v>
      </x:c>
    </x:row>
    <x:row r="20">
      <x:c r="B20" s="15" t="s">
        <x:v>18</x:v>
      </x:c>
      <x:c r="C20" s="16" t="n">
        <x:f>SUM(C13:C19)</x:f>
        <x:v>90</x:v>
      </x:c>
    </x:row>
    <x:row r="21">
      <x:c r="B21" s="14"/>
      <x:c r="C21" s="14"/>
    </x:row>
    <x:row r="22" ht="17.25">
      <x:c r="B22" s="11" t="s">
        <x:v>19</x:v>
      </x:c>
      <x:c r="C22" s="10"/>
    </x:row>
    <x:row r="23">
      <x:c r="B23" s="10" t="s">
        <x:v>20</x:v>
      </x:c>
      <x:c r="C23" s="6" t="n">
        <x:f>COUNTA(RuntimeTable[ID])</x:f>
        <x:v>9</x:v>
      </x:c>
    </x:row>
    <x:row r="24">
      <x:c r="B24" s="10" t="s">
        <x:v>21</x:v>
      </x:c>
      <x:c r="C24" s="6" t="n">
        <x:f>COUNTA(VerificationTable[Verification Item])</x:f>
        <x:v>27</x:v>
      </x:c>
    </x:row>
    <x:row r="25">
      <x:c r="B25" s="12" t="s">
        <x:v>22</x:v>
      </x:c>
      <x:c r="C25" s="13" t="n">
        <x:f>COUNTA(KnownItemsTable[Item])</x:f>
        <x:v>11</x:v>
      </x:c>
    </x:row>
  </x:sheetData>
  <x:mergeCells>
    <x:mergeCell ref="B2:I2"/>
    <x:mergeCell ref="B3:I3"/>
    <x:mergeCell ref="B9:I9"/>
  </x:mergeCells>
  <x:pageMargins left="0.7" right="0.7" top="0.75" bottom="0.75" header="0.3" footer="0.3"/>
  <x:drawing xmlns:r="http://schemas.openxmlformats.org/officeDocument/2006/relationships" r:id="R709adf9b63f144e8"/>
</x:worksheet>
</file>

<file path=xl/worksheets/sheet2.xml><?xml version="1.0" encoding="utf-8"?>
<x:worksheet xmlns:x="http://schemas.openxmlformats.org/spreadsheetml/2006/main">
  <x:sheetFormatPr defaultRowHeight="15"/>
  <x:cols>
    <x:col min="1" max="1" width="9.85546875" style="30" customWidth="1"/>
    <x:col min="2" max="2" width="17.140625" style="30" customWidth="1"/>
    <x:col min="3" max="3" width="50.42578125" style="30" customWidth="1"/>
    <x:col min="4" max="4" width="20" style="30" customWidth="1"/>
    <x:col min="5" max="5" width="74.85546875" style="30" customWidth="1"/>
    <x:col min="6" max="6" width="81.42578125" style="30" customWidth="1"/>
    <x:col min="7" max="7" width="99.7109375" style="30" customWidth="1"/>
    <x:col min="8" max="16384" width="9.140625" style="30" customWidth="0"/>
  </x:cols>
  <x:sheetData>
    <x:row r="1">
      <x:c r="A1" s="22" t="s">
        <x:v>23</x:v>
      </x:c>
      <x:c r="B1" s="22" t="s">
        <x:v>9</x:v>
      </x:c>
      <x:c r="C1" s="22" t="s">
        <x:v>24</x:v>
      </x:c>
      <x:c r="D1" s="22" t="s">
        <x:v>25</x:v>
      </x:c>
      <x:c r="E1" s="22" t="s">
        <x:v>26</x:v>
      </x:c>
      <x:c r="F1" s="22" t="s">
        <x:v>27</x:v>
      </x:c>
      <x:c r="G1" s="22" t="s">
        <x:v>28</x:v>
      </x:c>
    </x:row>
    <x:row r="2" ht="27">
      <x:c r="A2" s="31" t="s">
        <x:v>29</x:v>
      </x:c>
      <x:c r="B2" s="32" t="s">
        <x:v>11</x:v>
      </x:c>
      <x:c r="C2" s="33" t="s">
        <x:v>30</x:v>
      </x:c>
      <x:c r="D2" s="34" t="s">
        <x:v>31</x:v>
      </x:c>
      <x:c r="E2" s="33" t="s">
        <x:v>32</x:v>
      </x:c>
      <x:c r="F2" s="33" t="s">
        <x:v>33</x:v>
      </x:c>
      <x:c r="G2" s="33" t="s">
        <x:v>34</x:v>
      </x:c>
    </x:row>
    <x:row r="3">
      <x:c r="A3" s="31" t="s">
        <x:v>35</x:v>
      </x:c>
      <x:c r="B3" s="32" t="s">
        <x:v>11</x:v>
      </x:c>
      <x:c r="C3" s="33" t="s">
        <x:v>30</x:v>
      </x:c>
      <x:c r="D3" s="34" t="s">
        <x:v>36</x:v>
      </x:c>
      <x:c r="E3" s="33" t="s">
        <x:v>37</x:v>
      </x:c>
      <x:c r="F3" s="33" t="s">
        <x:v>38</x:v>
      </x:c>
      <x:c r="G3" s="33" t="s">
        <x:v>39</x:v>
      </x:c>
    </x:row>
    <x:row r="4" ht="27">
      <x:c r="A4" s="31" t="s">
        <x:v>40</x:v>
      </x:c>
      <x:c r="B4" s="32" t="s">
        <x:v>11</x:v>
      </x:c>
      <x:c r="C4" s="33" t="s">
        <x:v>30</x:v>
      </x:c>
      <x:c r="D4" s="34" t="s">
        <x:v>41</x:v>
      </x:c>
      <x:c r="E4" s="33" t="s">
        <x:v>42</x:v>
      </x:c>
      <x:c r="F4" s="33" t="s">
        <x:v>43</x:v>
      </x:c>
      <x:c r="G4" s="33" t="s">
        <x:v>44</x:v>
      </x:c>
    </x:row>
    <x:row r="5" ht="40.5">
      <x:c r="A5" s="31" t="s">
        <x:v>45</x:v>
      </x:c>
      <x:c r="B5" s="32" t="s">
        <x:v>11</x:v>
      </x:c>
      <x:c r="C5" s="33" t="s">
        <x:v>30</x:v>
      </x:c>
      <x:c r="D5" s="34" t="s">
        <x:v>46</x:v>
      </x:c>
      <x:c r="E5" s="33" t="s">
        <x:v>47</x:v>
      </x:c>
      <x:c r="F5" s="33" t="s">
        <x:v>48</x:v>
      </x:c>
      <x:c r="G5" s="33" t="s">
        <x:v>49</x:v>
      </x:c>
    </x:row>
    <x:row r="6" ht="40.5">
      <x:c r="A6" s="31" t="s">
        <x:v>50</x:v>
      </x:c>
      <x:c r="B6" s="32" t="s">
        <x:v>11</x:v>
      </x:c>
      <x:c r="C6" s="33" t="s">
        <x:v>51</x:v>
      </x:c>
      <x:c r="D6" s="34" t="s">
        <x:v>52</x:v>
      </x:c>
      <x:c r="E6" s="33" t="s">
        <x:v>53</x:v>
      </x:c>
      <x:c r="F6" s="33" t="s">
        <x:v>54</x:v>
      </x:c>
      <x:c r="G6" s="33" t="s">
        <x:v>55</x:v>
      </x:c>
    </x:row>
    <x:row r="7">
      <x:c r="A7" s="31" t="s">
        <x:v>56</x:v>
      </x:c>
      <x:c r="B7" s="32" t="s">
        <x:v>11</x:v>
      </x:c>
      <x:c r="C7" s="33" t="s">
        <x:v>51</x:v>
      </x:c>
      <x:c r="D7" s="34" t="s">
        <x:v>57</x:v>
      </x:c>
      <x:c r="E7" s="33" t="s">
        <x:v>58</x:v>
      </x:c>
      <x:c r="F7" s="33" t="s">
        <x:v>59</x:v>
      </x:c>
      <x:c r="G7" s="33" t="s">
        <x:v>60</x:v>
      </x:c>
    </x:row>
    <x:row r="8" ht="27">
      <x:c r="A8" s="31" t="s">
        <x:v>61</x:v>
      </x:c>
      <x:c r="B8" s="32" t="s">
        <x:v>11</x:v>
      </x:c>
      <x:c r="C8" s="33" t="s">
        <x:v>51</x:v>
      </x:c>
      <x:c r="D8" s="34" t="s">
        <x:v>62</x:v>
      </x:c>
      <x:c r="E8" s="33" t="s">
        <x:v>63</x:v>
      </x:c>
      <x:c r="F8" s="33" t="s">
        <x:v>64</x:v>
      </x:c>
      <x:c r="G8" s="33" t="s">
        <x:v>65</x:v>
      </x:c>
    </x:row>
    <x:row r="9" ht="27">
      <x:c r="A9" s="31" t="s">
        <x:v>66</x:v>
      </x:c>
      <x:c r="B9" s="32" t="s">
        <x:v>11</x:v>
      </x:c>
      <x:c r="C9" s="33" t="s">
        <x:v>51</x:v>
      </x:c>
      <x:c r="D9" s="34" t="s">
        <x:v>67</x:v>
      </x:c>
      <x:c r="E9" s="33" t="s">
        <x:v>68</x:v>
      </x:c>
      <x:c r="F9" s="33" t="s">
        <x:v>69</x:v>
      </x:c>
      <x:c r="G9" s="33" t="s">
        <x:v>70</x:v>
      </x:c>
    </x:row>
    <x:row r="10" ht="27">
      <x:c r="A10" s="31" t="s">
        <x:v>71</x:v>
      </x:c>
      <x:c r="B10" s="32" t="s">
        <x:v>11</x:v>
      </x:c>
      <x:c r="C10" s="33" t="s">
        <x:v>51</x:v>
      </x:c>
      <x:c r="D10" s="34" t="s">
        <x:v>72</x:v>
      </x:c>
      <x:c r="E10" s="33" t="s">
        <x:v>73</x:v>
      </x:c>
      <x:c r="F10" s="33" t="s">
        <x:v>74</x:v>
      </x:c>
      <x:c r="G10" s="33" t="s">
        <x:v>75</x:v>
      </x:c>
    </x:row>
    <x:row r="11">
      <x:c r="A11" s="31" t="s">
        <x:v>76</x:v>
      </x:c>
      <x:c r="B11" s="32" t="s">
        <x:v>11</x:v>
      </x:c>
      <x:c r="C11" s="33" t="s">
        <x:v>51</x:v>
      </x:c>
      <x:c r="D11" s="34" t="s">
        <x:v>77</x:v>
      </x:c>
      <x:c r="E11" s="33" t="s">
        <x:v>78</x:v>
      </x:c>
      <x:c r="F11" s="33" t="s">
        <x:v>79</x:v>
      </x:c>
      <x:c r="G11" s="33" t="s">
        <x:v>80</x:v>
      </x:c>
    </x:row>
    <x:row r="12" ht="27">
      <x:c r="A12" s="31" t="s">
        <x:v>81</x:v>
      </x:c>
      <x:c r="B12" s="32" t="s">
        <x:v>11</x:v>
      </x:c>
      <x:c r="C12" s="33" t="s">
        <x:v>51</x:v>
      </x:c>
      <x:c r="D12" s="34" t="s">
        <x:v>82</x:v>
      </x:c>
      <x:c r="E12" s="33" t="s">
        <x:v>83</x:v>
      </x:c>
      <x:c r="F12" s="33" t="s">
        <x:v>84</x:v>
      </x:c>
      <x:c r="G12" s="33" t="s">
        <x:v>85</x:v>
      </x:c>
    </x:row>
    <x:row r="13" ht="27">
      <x:c r="A13" s="31" t="s">
        <x:v>86</x:v>
      </x:c>
      <x:c r="B13" s="32" t="s">
        <x:v>11</x:v>
      </x:c>
      <x:c r="C13" s="33" t="s">
        <x:v>87</x:v>
      </x:c>
      <x:c r="D13" s="34" t="s">
        <x:v>88</x:v>
      </x:c>
      <x:c r="E13" s="33" t="s">
        <x:v>89</x:v>
      </x:c>
      <x:c r="F13" s="33" t="s">
        <x:v>90</x:v>
      </x:c>
      <x:c r="G13" s="33" t="s">
        <x:v>91</x:v>
      </x:c>
    </x:row>
    <x:row r="14" ht="27">
      <x:c r="A14" s="31" t="s">
        <x:v>92</x:v>
      </x:c>
      <x:c r="B14" s="32" t="s">
        <x:v>11</x:v>
      </x:c>
      <x:c r="C14" s="33" t="s">
        <x:v>87</x:v>
      </x:c>
      <x:c r="D14" s="34" t="s">
        <x:v>93</x:v>
      </x:c>
      <x:c r="E14" s="33" t="s">
        <x:v>94</x:v>
      </x:c>
      <x:c r="F14" s="33" t="s">
        <x:v>95</x:v>
      </x:c>
      <x:c r="G14" s="33" t="s">
        <x:v>96</x:v>
      </x:c>
    </x:row>
    <x:row r="15" ht="27">
      <x:c r="A15" s="31" t="s">
        <x:v>97</x:v>
      </x:c>
      <x:c r="B15" s="32" t="s">
        <x:v>11</x:v>
      </x:c>
      <x:c r="C15" s="33" t="s">
        <x:v>87</x:v>
      </x:c>
      <x:c r="D15" s="34" t="s">
        <x:v>98</x:v>
      </x:c>
      <x:c r="E15" s="33" t="s">
        <x:v>99</x:v>
      </x:c>
      <x:c r="F15" s="33" t="s">
        <x:v>100</x:v>
      </x:c>
      <x:c r="G15" s="33" t="s">
        <x:v>101</x:v>
      </x:c>
    </x:row>
    <x:row r="16" ht="27">
      <x:c r="A16" s="31" t="s">
        <x:v>102</x:v>
      </x:c>
      <x:c r="B16" s="32" t="s">
        <x:v>11</x:v>
      </x:c>
      <x:c r="C16" s="33" t="s">
        <x:v>87</x:v>
      </x:c>
      <x:c r="D16" s="34">
        <x:v>1184</x:v>
      </x:c>
      <x:c r="E16" s="33" t="s">
        <x:v>103</x:v>
      </x:c>
      <x:c r="F16" s="33" t="s">
        <x:v>104</x:v>
      </x:c>
      <x:c r="G16" s="33" t="s">
        <x:v>105</x:v>
      </x:c>
    </x:row>
    <x:row r="17" ht="27">
      <x:c r="A17" s="31" t="s">
        <x:v>106</x:v>
      </x:c>
      <x:c r="B17" s="32" t="s">
        <x:v>11</x:v>
      </x:c>
      <x:c r="C17" s="33" t="s">
        <x:v>107</x:v>
      </x:c>
      <x:c r="D17" s="35">
        <x:v>46046</x:v>
      </x:c>
      <x:c r="E17" s="33" t="s">
        <x:v>108</x:v>
      </x:c>
      <x:c r="F17" s="33" t="s">
        <x:v>109</x:v>
      </x:c>
      <x:c r="G17" s="33" t="s">
        <x:v>110</x:v>
      </x:c>
    </x:row>
    <x:row r="18" ht="27">
      <x:c r="A18" s="31" t="s">
        <x:v>111</x:v>
      </x:c>
      <x:c r="B18" s="32" t="s">
        <x:v>11</x:v>
      </x:c>
      <x:c r="C18" s="33" t="s">
        <x:v>112</x:v>
      </x:c>
      <x:c r="D18" s="35">
        <x:v>46041</x:v>
      </x:c>
      <x:c r="E18" s="33" t="s">
        <x:v>113</x:v>
      </x:c>
      <x:c r="F18" s="33" t="s">
        <x:v>114</x:v>
      </x:c>
      <x:c r="G18" s="33" t="s">
        <x:v>115</x:v>
      </x:c>
    </x:row>
    <x:row r="19" ht="27">
      <x:c r="A19" s="31" t="s">
        <x:v>116</x:v>
      </x:c>
      <x:c r="B19" s="32" t="s">
        <x:v>11</x:v>
      </x:c>
      <x:c r="C19" s="33" t="s">
        <x:v>117</x:v>
      </x:c>
      <x:c r="D19" s="35">
        <x:v>46202</x:v>
      </x:c>
      <x:c r="E19" s="33" t="s">
        <x:v>118</x:v>
      </x:c>
      <x:c r="F19" s="33" t="s">
        <x:v>119</x:v>
      </x:c>
      <x:c r="G19" s="33" t="s">
        <x:v>120</x:v>
      </x:c>
    </x:row>
    <x:row r="20">
      <x:c r="A20" s="31" t="s">
        <x:v>121</x:v>
      </x:c>
      <x:c r="B20" s="32" t="s">
        <x:v>11</x:v>
      </x:c>
      <x:c r="C20" s="33" t="s">
        <x:v>122</x:v>
      </x:c>
      <x:c r="D20" s="35">
        <x:v>46040</x:v>
      </x:c>
      <x:c r="E20" s="33" t="s">
        <x:v>123</x:v>
      </x:c>
      <x:c r="F20" s="33" t="s">
        <x:v>124</x:v>
      </x:c>
      <x:c r="G20" s="33" t="s">
        <x:v>125</x:v>
      </x:c>
    </x:row>
    <x:row r="21" ht="27">
      <x:c r="A21" s="31" t="s">
        <x:v>126</x:v>
      </x:c>
      <x:c r="B21" s="32" t="s">
        <x:v>11</x:v>
      </x:c>
      <x:c r="C21" s="33" t="s">
        <x:v>127</x:v>
      </x:c>
      <x:c r="D21" s="36">
        <x:v>17715</x:v>
      </x:c>
      <x:c r="E21" s="33" t="s">
        <x:v>128</x:v>
      </x:c>
      <x:c r="F21" s="33" t="s">
        <x:v>129</x:v>
      </x:c>
      <x:c r="G21" s="33" t="s">
        <x:v>130</x:v>
      </x:c>
    </x:row>
    <x:row r="22" ht="27">
      <x:c r="A22" s="31" t="s">
        <x:v>131</x:v>
      </x:c>
      <x:c r="B22" s="32" t="s">
        <x:v>11</x:v>
      </x:c>
      <x:c r="C22" s="33" t="s">
        <x:v>132</x:v>
      </x:c>
      <x:c r="D22" s="34" t="s">
        <x:v>133</x:v>
      </x:c>
      <x:c r="E22" s="33" t="s">
        <x:v>134</x:v>
      </x:c>
      <x:c r="F22" s="33" t="s">
        <x:v>135</x:v>
      </x:c>
      <x:c r="G22" s="33" t="s">
        <x:v>136</x:v>
      </x:c>
    </x:row>
    <x:row r="23" ht="27">
      <x:c r="A23" s="31" t="s">
        <x:v>137</x:v>
      </x:c>
      <x:c r="B23" s="32" t="s">
        <x:v>11</x:v>
      </x:c>
      <x:c r="C23" s="33" t="s">
        <x:v>138</x:v>
      </x:c>
      <x:c r="D23" s="34" t="s">
        <x:v>139</x:v>
      </x:c>
      <x:c r="E23" s="33" t="s">
        <x:v>140</x:v>
      </x:c>
      <x:c r="F23" s="33" t="s">
        <x:v>141</x:v>
      </x:c>
      <x:c r="G23" s="33" t="s">
        <x:v>142</x:v>
      </x:c>
    </x:row>
    <x:row r="24" ht="27">
      <x:c r="A24" s="31" t="s">
        <x:v>143</x:v>
      </x:c>
      <x:c r="B24" s="32" t="s">
        <x:v>11</x:v>
      </x:c>
      <x:c r="C24" s="33" t="s">
        <x:v>144</x:v>
      </x:c>
      <x:c r="D24" s="34" t="s">
        <x:v>145</x:v>
      </x:c>
      <x:c r="E24" s="33" t="s">
        <x:v>146</x:v>
      </x:c>
      <x:c r="F24" s="33" t="s">
        <x:v>147</x:v>
      </x:c>
      <x:c r="G24" s="33" t="s">
        <x:v>148</x:v>
      </x:c>
    </x:row>
    <x:row r="25" ht="40.5">
      <x:c r="A25" s="31" t="s">
        <x:v>149</x:v>
      </x:c>
      <x:c r="B25" s="32" t="s">
        <x:v>11</x:v>
      </x:c>
      <x:c r="C25" s="33" t="s">
        <x:v>150</x:v>
      </x:c>
      <x:c r="D25" s="34" t="s">
        <x:v>151</x:v>
      </x:c>
      <x:c r="E25" s="33" t="s">
        <x:v>152</x:v>
      </x:c>
      <x:c r="F25" s="33" t="s">
        <x:v>153</x:v>
      </x:c>
      <x:c r="G25" s="33" t="s">
        <x:v>154</x:v>
      </x:c>
    </x:row>
    <x:row r="26" ht="40.5">
      <x:c r="A26" s="31" t="s">
        <x:v>155</x:v>
      </x:c>
      <x:c r="B26" s="32" t="s">
        <x:v>11</x:v>
      </x:c>
      <x:c r="C26" s="33" t="s">
        <x:v>156</x:v>
      </x:c>
      <x:c r="D26" s="34" t="s">
        <x:v>157</x:v>
      </x:c>
      <x:c r="E26" s="33" t="s">
        <x:v>158</x:v>
      </x:c>
      <x:c r="F26" s="33" t="s">
        <x:v>159</x:v>
      </x:c>
      <x:c r="G26" s="33" t="s">
        <x:v>160</x:v>
      </x:c>
    </x:row>
    <x:row r="27" ht="27">
      <x:c r="A27" s="31" t="s">
        <x:v>161</x:v>
      </x:c>
      <x:c r="B27" s="32" t="s">
        <x:v>11</x:v>
      </x:c>
      <x:c r="C27" s="33" t="s">
        <x:v>162</x:v>
      </x:c>
      <x:c r="D27" s="34" t="s">
        <x:v>163</x:v>
      </x:c>
      <x:c r="E27" s="33" t="s">
        <x:v>164</x:v>
      </x:c>
      <x:c r="F27" s="33" t="s">
        <x:v>165</x:v>
      </x:c>
      <x:c r="G27" s="33" t="s">
        <x:v>166</x:v>
      </x:c>
    </x:row>
    <x:row r="28" ht="27">
      <x:c r="A28" s="31" t="s">
        <x:v>167</x:v>
      </x:c>
      <x:c r="B28" s="32" t="s">
        <x:v>11</x:v>
      </x:c>
      <x:c r="C28" s="33" t="s">
        <x:v>168</x:v>
      </x:c>
      <x:c r="D28" s="35">
        <x:v>46045</x:v>
      </x:c>
      <x:c r="E28" s="33" t="s">
        <x:v>169</x:v>
      </x:c>
      <x:c r="F28" s="33" t="s">
        <x:v>170</x:v>
      </x:c>
      <x:c r="G28" s="33" t="s">
        <x:v>171</x:v>
      </x:c>
    </x:row>
    <x:row r="29" ht="40.5">
      <x:c r="A29" s="31" t="s">
        <x:v>172</x:v>
      </x:c>
      <x:c r="B29" s="32" t="s">
        <x:v>11</x:v>
      </x:c>
      <x:c r="C29" s="33" t="s">
        <x:v>173</x:v>
      </x:c>
      <x:c r="D29" s="34" t="s">
        <x:v>174</x:v>
      </x:c>
      <x:c r="E29" s="33" t="s">
        <x:v>175</x:v>
      </x:c>
      <x:c r="F29" s="33" t="s">
        <x:v>176</x:v>
      </x:c>
      <x:c r="G29" s="33" t="s">
        <x:v>177</x:v>
      </x:c>
    </x:row>
    <x:row r="30" ht="27">
      <x:c r="A30" s="31" t="s">
        <x:v>178</x:v>
      </x:c>
      <x:c r="B30" s="32" t="s">
        <x:v>11</x:v>
      </x:c>
      <x:c r="C30" s="33" t="s">
        <x:v>179</x:v>
      </x:c>
      <x:c r="D30" s="34" t="s">
        <x:v>180</x:v>
      </x:c>
      <x:c r="E30" s="33" t="s">
        <x:v>181</x:v>
      </x:c>
      <x:c r="F30" s="33" t="s">
        <x:v>182</x:v>
      </x:c>
      <x:c r="G30" s="33" t="s">
        <x:v>183</x:v>
      </x:c>
    </x:row>
    <x:row r="31" ht="40.5">
      <x:c r="A31" s="31" t="s">
        <x:v>184</x:v>
      </x:c>
      <x:c r="B31" s="32" t="s">
        <x:v>11</x:v>
      </x:c>
      <x:c r="C31" s="33" t="s">
        <x:v>185</x:v>
      </x:c>
      <x:c r="D31" s="34" t="s">
        <x:v>186</x:v>
      </x:c>
      <x:c r="E31" s="33" t="s">
        <x:v>187</x:v>
      </x:c>
      <x:c r="F31" s="33" t="s">
        <x:v>188</x:v>
      </x:c>
      <x:c r="G31" s="33" t="s">
        <x:v>189</x:v>
      </x:c>
    </x:row>
    <x:row r="32" ht="40.5">
      <x:c r="A32" s="31" t="s">
        <x:v>190</x:v>
      </x:c>
      <x:c r="B32" s="32" t="s">
        <x:v>11</x:v>
      </x:c>
      <x:c r="C32" s="33" t="s">
        <x:v>191</x:v>
      </x:c>
      <x:c r="D32" s="34" t="s">
        <x:v>192</x:v>
      </x:c>
      <x:c r="E32" s="33" t="s">
        <x:v>193</x:v>
      </x:c>
      <x:c r="F32" s="33" t="s">
        <x:v>188</x:v>
      </x:c>
      <x:c r="G32" s="33" t="s">
        <x:v>189</x:v>
      </x:c>
    </x:row>
    <x:row r="33" ht="27">
      <x:c r="A33" s="31" t="s">
        <x:v>194</x:v>
      </x:c>
      <x:c r="B33" s="32" t="s">
        <x:v>11</x:v>
      </x:c>
      <x:c r="C33" s="33" t="s">
        <x:v>195</x:v>
      </x:c>
      <x:c r="D33" s="34" t="s">
        <x:v>196</x:v>
      </x:c>
      <x:c r="E33" s="33" t="s">
        <x:v>197</x:v>
      </x:c>
      <x:c r="F33" s="33" t="s">
        <x:v>198</x:v>
      </x:c>
      <x:c r="G33" s="33" t="s">
        <x:v>189</x:v>
      </x:c>
    </x:row>
    <x:row r="34">
      <x:c r="A34" s="31" t="s">
        <x:v>199</x:v>
      </x:c>
      <x:c r="B34" s="32" t="s">
        <x:v>11</x:v>
      </x:c>
      <x:c r="C34" s="33" t="s">
        <x:v>200</x:v>
      </x:c>
      <x:c r="D34" s="34" t="s">
        <x:v>201</x:v>
      </x:c>
      <x:c r="E34" s="33" t="s">
        <x:v>202</x:v>
      </x:c>
      <x:c r="F34" s="33" t="s">
        <x:v>203</x:v>
      </x:c>
      <x:c r="G34" s="33" t="s">
        <x:v>204</x:v>
      </x:c>
    </x:row>
    <x:row r="35">
      <x:c r="A35" s="31" t="s">
        <x:v>205</x:v>
      </x:c>
      <x:c r="B35" s="32" t="s">
        <x:v>11</x:v>
      </x:c>
      <x:c r="C35" s="33" t="s">
        <x:v>206</x:v>
      </x:c>
      <x:c r="D35" s="34" t="s">
        <x:v>207</x:v>
      </x:c>
      <x:c r="E35" s="33" t="s">
        <x:v>208</x:v>
      </x:c>
      <x:c r="F35" s="33" t="s">
        <x:v>209</x:v>
      </x:c>
      <x:c r="G35" s="33" t="s">
        <x:v>210</x:v>
      </x:c>
    </x:row>
    <x:row r="36" ht="27">
      <x:c r="A36" s="31" t="s">
        <x:v>211</x:v>
      </x:c>
      <x:c r="B36" s="32" t="s">
        <x:v>12</x:v>
      </x:c>
      <x:c r="C36" s="33" t="s">
        <x:v>212</x:v>
      </x:c>
      <x:c r="D36" s="34" t="s">
        <x:v>213</x:v>
      </x:c>
      <x:c r="E36" s="33" t="s">
        <x:v>214</x:v>
      </x:c>
      <x:c r="F36" s="33" t="s">
        <x:v>215</x:v>
      </x:c>
      <x:c r="G36" s="33" t="s">
        <x:v>216</x:v>
      </x:c>
    </x:row>
    <x:row r="37">
      <x:c r="A37" s="31" t="s">
        <x:v>217</x:v>
      </x:c>
      <x:c r="B37" s="32" t="s">
        <x:v>12</x:v>
      </x:c>
      <x:c r="C37" s="33" t="s">
        <x:v>218</x:v>
      </x:c>
      <x:c r="D37" s="35">
        <x:v>46026</x:v>
      </x:c>
      <x:c r="E37" s="33" t="s">
        <x:v>219</x:v>
      </x:c>
      <x:c r="F37" s="33" t="s">
        <x:v>220</x:v>
      </x:c>
      <x:c r="G37" s="33" t="s">
        <x:v>221</x:v>
      </x:c>
    </x:row>
    <x:row r="38">
      <x:c r="A38" s="31" t="s">
        <x:v>222</x:v>
      </x:c>
      <x:c r="B38" s="32" t="s">
        <x:v>12</x:v>
      </x:c>
      <x:c r="C38" s="33" t="s">
        <x:v>223</x:v>
      </x:c>
      <x:c r="D38" s="34" t="s">
        <x:v>224</x:v>
      </x:c>
      <x:c r="E38" s="33" t="s">
        <x:v>225</x:v>
      </x:c>
      <x:c r="F38" s="33" t="s">
        <x:v>226</x:v>
      </x:c>
      <x:c r="G38" s="33" t="s">
        <x:v>227</x:v>
      </x:c>
    </x:row>
    <x:row r="39">
      <x:c r="A39" s="31" t="s">
        <x:v>228</x:v>
      </x:c>
      <x:c r="B39" s="32" t="s">
        <x:v>12</x:v>
      </x:c>
      <x:c r="C39" s="33" t="s">
        <x:v>229</x:v>
      </x:c>
      <x:c r="D39" s="34" t="s">
        <x:v>230</x:v>
      </x:c>
      <x:c r="E39" s="33" t="s">
        <x:v>231</x:v>
      </x:c>
      <x:c r="F39" s="33" t="s">
        <x:v>232</x:v>
      </x:c>
      <x:c r="G39" s="33" t="s">
        <x:v>233</x:v>
      </x:c>
    </x:row>
    <x:row r="40" ht="27">
      <x:c r="A40" s="31" t="s">
        <x:v>234</x:v>
      </x:c>
      <x:c r="B40" s="32" t="s">
        <x:v>12</x:v>
      </x:c>
      <x:c r="C40" s="33" t="s">
        <x:v>235</x:v>
      </x:c>
      <x:c r="D40" s="35">
        <x:v>46030</x:v>
      </x:c>
      <x:c r="E40" s="33" t="s">
        <x:v>236</x:v>
      </x:c>
      <x:c r="F40" s="33" t="s">
        <x:v>237</x:v>
      </x:c>
      <x:c r="G40" s="33" t="s">
        <x:v>238</x:v>
      </x:c>
    </x:row>
    <x:row r="41" ht="27">
      <x:c r="A41" s="31" t="s">
        <x:v>239</x:v>
      </x:c>
      <x:c r="B41" s="32" t="s">
        <x:v>12</x:v>
      </x:c>
      <x:c r="C41" s="33" t="s">
        <x:v>240</x:v>
      </x:c>
      <x:c r="D41" s="34" t="s">
        <x:v>241</x:v>
      </x:c>
      <x:c r="E41" s="33" t="s">
        <x:v>242</x:v>
      </x:c>
      <x:c r="F41" s="33" t="s">
        <x:v>243</x:v>
      </x:c>
      <x:c r="G41" s="33" t="s">
        <x:v>244</x:v>
      </x:c>
    </x:row>
    <x:row r="42" ht="27">
      <x:c r="A42" s="31" t="s">
        <x:v>245</x:v>
      </x:c>
      <x:c r="B42" s="32" t="s">
        <x:v>12</x:v>
      </x:c>
      <x:c r="C42" s="33" t="s">
        <x:v>246</x:v>
      </x:c>
      <x:c r="D42" s="35">
        <x:v>46033</x:v>
      </x:c>
      <x:c r="E42" s="33" t="s">
        <x:v>236</x:v>
      </x:c>
      <x:c r="F42" s="33" t="s">
        <x:v>247</x:v>
      </x:c>
      <x:c r="G42" s="33" t="s">
        <x:v>248</x:v>
      </x:c>
    </x:row>
    <x:row r="43">
      <x:c r="A43" s="31" t="s">
        <x:v>249</x:v>
      </x:c>
      <x:c r="B43" s="32" t="s">
        <x:v>12</x:v>
      </x:c>
      <x:c r="C43" s="33" t="s">
        <x:v>250</x:v>
      </x:c>
      <x:c r="D43" s="34" t="s">
        <x:v>251</x:v>
      </x:c>
      <x:c r="E43" s="33" t="s">
        <x:v>252</x:v>
      </x:c>
      <x:c r="F43" s="33" t="s">
        <x:v>253</x:v>
      </x:c>
      <x:c r="G43" s="33" t="s">
        <x:v>254</x:v>
      </x:c>
    </x:row>
    <x:row r="44">
      <x:c r="A44" s="31" t="s">
        <x:v>255</x:v>
      </x:c>
      <x:c r="B44" s="32" t="s">
        <x:v>12</x:v>
      </x:c>
      <x:c r="C44" s="33" t="s">
        <x:v>256</x:v>
      </x:c>
      <x:c r="D44" s="34" t="s">
        <x:v>257</x:v>
      </x:c>
      <x:c r="E44" s="33" t="s">
        <x:v>258</x:v>
      </x:c>
      <x:c r="F44" s="33" t="s">
        <x:v>259</x:v>
      </x:c>
      <x:c r="G44" s="33" t="s">
        <x:v>260</x:v>
      </x:c>
    </x:row>
    <x:row r="45" ht="27">
      <x:c r="A45" s="31" t="s">
        <x:v>261</x:v>
      </x:c>
      <x:c r="B45" s="32" t="s">
        <x:v>12</x:v>
      </x:c>
      <x:c r="C45" s="33" t="s">
        <x:v>262</x:v>
      </x:c>
      <x:c r="D45" s="35">
        <x:v>46180</x:v>
      </x:c>
      <x:c r="E45" s="33" t="s">
        <x:v>263</x:v>
      </x:c>
      <x:c r="F45" s="33" t="s">
        <x:v>264</x:v>
      </x:c>
      <x:c r="G45" s="33" t="s">
        <x:v>265</x:v>
      </x:c>
    </x:row>
    <x:row r="46">
      <x:c r="A46" s="31" t="s">
        <x:v>266</x:v>
      </x:c>
      <x:c r="B46" s="32" t="s">
        <x:v>12</x:v>
      </x:c>
      <x:c r="C46" s="33" t="s">
        <x:v>267</x:v>
      </x:c>
      <x:c r="D46" s="35">
        <x:v>46024</x:v>
      </x:c>
      <x:c r="E46" s="33" t="s">
        <x:v>236</x:v>
      </x:c>
      <x:c r="F46" s="33" t="s">
        <x:v>268</x:v>
      </x:c>
      <x:c r="G46" s="33" t="s">
        <x:v>269</x:v>
      </x:c>
    </x:row>
    <x:row r="47">
      <x:c r="A47" s="31" t="s">
        <x:v>270</x:v>
      </x:c>
      <x:c r="B47" s="32" t="s">
        <x:v>12</x:v>
      </x:c>
      <x:c r="C47" s="33" t="s">
        <x:v>271</x:v>
      </x:c>
      <x:c r="D47" s="35">
        <x:v>46338</x:v>
      </x:c>
      <x:c r="E47" s="33" t="s">
        <x:v>272</x:v>
      </x:c>
      <x:c r="F47" s="33" t="s">
        <x:v>273</x:v>
      </x:c>
      <x:c r="G47" s="33" t="s">
        <x:v>274</x:v>
      </x:c>
    </x:row>
    <x:row r="48" ht="27">
      <x:c r="A48" s="31" t="s">
        <x:v>275</x:v>
      </x:c>
      <x:c r="B48" s="32" t="s">
        <x:v>13</x:v>
      </x:c>
      <x:c r="C48" s="33" t="s">
        <x:v>276</x:v>
      </x:c>
      <x:c r="D48" s="34" t="s">
        <x:v>277</x:v>
      </x:c>
      <x:c r="E48" s="33" t="s">
        <x:v>278</x:v>
      </x:c>
      <x:c r="F48" s="33" t="s">
        <x:v>279</x:v>
      </x:c>
      <x:c r="G48" s="33" t="s">
        <x:v>280</x:v>
      </x:c>
    </x:row>
    <x:row r="49" ht="27">
      <x:c r="A49" s="31" t="s">
        <x:v>281</x:v>
      </x:c>
      <x:c r="B49" s="32" t="s">
        <x:v>13</x:v>
      </x:c>
      <x:c r="C49" s="33" t="s">
        <x:v>282</x:v>
      </x:c>
      <x:c r="D49" s="34" t="s">
        <x:v>283</x:v>
      </x:c>
      <x:c r="E49" s="33" t="s">
        <x:v>284</x:v>
      </x:c>
      <x:c r="F49" s="33" t="s">
        <x:v>285</x:v>
      </x:c>
      <x:c r="G49" s="33" t="s">
        <x:v>286</x:v>
      </x:c>
    </x:row>
    <x:row r="50" ht="27">
      <x:c r="A50" s="31" t="s">
        <x:v>287</x:v>
      </x:c>
      <x:c r="B50" s="32" t="s">
        <x:v>13</x:v>
      </x:c>
      <x:c r="C50" s="33" t="s">
        <x:v>282</x:v>
      </x:c>
      <x:c r="D50" s="34" t="s">
        <x:v>288</x:v>
      </x:c>
      <x:c r="E50" s="33" t="s">
        <x:v>289</x:v>
      </x:c>
      <x:c r="F50" s="33" t="s">
        <x:v>290</x:v>
      </x:c>
      <x:c r="G50" s="33" t="s">
        <x:v>291</x:v>
      </x:c>
    </x:row>
    <x:row r="51">
      <x:c r="A51" s="31" t="s">
        <x:v>292</x:v>
      </x:c>
      <x:c r="B51" s="32" t="s">
        <x:v>13</x:v>
      </x:c>
      <x:c r="C51" s="33" t="s">
        <x:v>293</x:v>
      </x:c>
      <x:c r="D51" s="34" t="s">
        <x:v>294</x:v>
      </x:c>
      <x:c r="E51" s="33" t="s">
        <x:v>295</x:v>
      </x:c>
      <x:c r="F51" s="33" t="s">
        <x:v>296</x:v>
      </x:c>
      <x:c r="G51" s="33" t="s">
        <x:v>297</x:v>
      </x:c>
    </x:row>
    <x:row r="52">
      <x:c r="A52" s="31" t="s">
        <x:v>298</x:v>
      </x:c>
      <x:c r="B52" s="32" t="s">
        <x:v>13</x:v>
      </x:c>
      <x:c r="C52" s="33" t="s">
        <x:v>299</x:v>
      </x:c>
      <x:c r="D52" s="34" t="s">
        <x:v>300</x:v>
      </x:c>
      <x:c r="E52" s="33" t="s">
        <x:v>301</x:v>
      </x:c>
      <x:c r="F52" s="33" t="s">
        <x:v>302</x:v>
      </x:c>
      <x:c r="G52" s="33" t="s">
        <x:v>303</x:v>
      </x:c>
    </x:row>
    <x:row r="53" ht="27">
      <x:c r="A53" s="31" t="s">
        <x:v>304</x:v>
      </x:c>
      <x:c r="B53" s="32" t="s">
        <x:v>13</x:v>
      </x:c>
      <x:c r="C53" s="33" t="s">
        <x:v>305</x:v>
      </x:c>
      <x:c r="D53" s="34" t="s">
        <x:v>306</x:v>
      </x:c>
      <x:c r="E53" s="33" t="s">
        <x:v>307</x:v>
      </x:c>
      <x:c r="F53" s="33" t="s">
        <x:v>308</x:v>
      </x:c>
      <x:c r="G53" s="33" t="s">
        <x:v>309</x:v>
      </x:c>
    </x:row>
    <x:row r="54" ht="27">
      <x:c r="A54" s="31" t="s">
        <x:v>310</x:v>
      </x:c>
      <x:c r="B54" s="32" t="s">
        <x:v>13</x:v>
      </x:c>
      <x:c r="C54" s="33" t="s">
        <x:v>311</x:v>
      </x:c>
      <x:c r="D54" s="34" t="s">
        <x:v>312</x:v>
      </x:c>
      <x:c r="E54" s="33" t="s">
        <x:v>313</x:v>
      </x:c>
      <x:c r="F54" s="33" t="s">
        <x:v>314</x:v>
      </x:c>
      <x:c r="G54" s="33" t="s">
        <x:v>315</x:v>
      </x:c>
    </x:row>
    <x:row r="55" ht="27">
      <x:c r="A55" s="31" t="s">
        <x:v>316</x:v>
      </x:c>
      <x:c r="B55" s="32" t="s">
        <x:v>13</x:v>
      </x:c>
      <x:c r="C55" s="33" t="s">
        <x:v>317</x:v>
      </x:c>
      <x:c r="D55" s="34" t="s">
        <x:v>318</x:v>
      </x:c>
      <x:c r="E55" s="33" t="s">
        <x:v>319</x:v>
      </x:c>
      <x:c r="F55" s="33" t="s">
        <x:v>320</x:v>
      </x:c>
      <x:c r="G55" s="33" t="s">
        <x:v>321</x:v>
      </x:c>
    </x:row>
    <x:row r="56" ht="27">
      <x:c r="A56" s="31" t="s">
        <x:v>322</x:v>
      </x:c>
      <x:c r="B56" s="32" t="s">
        <x:v>13</x:v>
      </x:c>
      <x:c r="C56" s="33" t="s">
        <x:v>323</x:v>
      </x:c>
      <x:c r="D56" s="34">
        <x:v>14</x:v>
      </x:c>
      <x:c r="E56" s="33" t="s">
        <x:v>324</x:v>
      </x:c>
      <x:c r="F56" s="33" t="s">
        <x:v>302</x:v>
      </x:c>
      <x:c r="G56" s="33" t="s">
        <x:v>325</x:v>
      </x:c>
    </x:row>
    <x:row r="57" ht="27">
      <x:c r="A57" s="31" t="s">
        <x:v>326</x:v>
      </x:c>
      <x:c r="B57" s="32" t="s">
        <x:v>13</x:v>
      </x:c>
      <x:c r="C57" s="33" t="s">
        <x:v>327</x:v>
      </x:c>
      <x:c r="D57" s="34">
        <x:v>19</x:v>
      </x:c>
      <x:c r="E57" s="33" t="s">
        <x:v>328</x:v>
      </x:c>
      <x:c r="F57" s="33" t="s">
        <x:v>329</x:v>
      </x:c>
      <x:c r="G57" s="33" t="s">
        <x:v>330</x:v>
      </x:c>
    </x:row>
    <x:row r="58" ht="27">
      <x:c r="A58" s="31" t="s">
        <x:v>331</x:v>
      </x:c>
      <x:c r="B58" s="32" t="s">
        <x:v>13</x:v>
      </x:c>
      <x:c r="C58" s="33" t="s">
        <x:v>332</x:v>
      </x:c>
      <x:c r="D58" s="34" t="s">
        <x:v>333</x:v>
      </x:c>
      <x:c r="E58" s="33" t="s">
        <x:v>334</x:v>
      </x:c>
      <x:c r="F58" s="33" t="s">
        <x:v>320</x:v>
      </x:c>
      <x:c r="G58" s="33" t="s">
        <x:v>335</x:v>
      </x:c>
    </x:row>
    <x:row r="59" ht="40.5">
      <x:c r="A59" s="31" t="s">
        <x:v>336</x:v>
      </x:c>
      <x:c r="B59" s="32" t="s">
        <x:v>13</x:v>
      </x:c>
      <x:c r="C59" s="33" t="s">
        <x:v>337</x:v>
      </x:c>
      <x:c r="D59" s="34">
        <x:v>14</x:v>
      </x:c>
      <x:c r="E59" s="33" t="s">
        <x:v>338</x:v>
      </x:c>
      <x:c r="F59" s="33" t="s">
        <x:v>302</x:v>
      </x:c>
      <x:c r="G59" s="33" t="s">
        <x:v>339</x:v>
      </x:c>
    </x:row>
    <x:row r="60" ht="40.5">
      <x:c r="A60" s="31" t="s">
        <x:v>340</x:v>
      </x:c>
      <x:c r="B60" s="32" t="s">
        <x:v>13</x:v>
      </x:c>
      <x:c r="C60" s="33" t="s">
        <x:v>341</x:v>
      </x:c>
      <x:c r="D60" s="34">
        <x:v>19</x:v>
      </x:c>
      <x:c r="E60" s="33" t="s">
        <x:v>342</x:v>
      </x:c>
      <x:c r="F60" s="33" t="s">
        <x:v>329</x:v>
      </x:c>
      <x:c r="G60" s="33" t="s">
        <x:v>339</x:v>
      </x:c>
    </x:row>
    <x:row r="61" ht="27">
      <x:c r="A61" s="31" t="s">
        <x:v>343</x:v>
      </x:c>
      <x:c r="B61" s="32" t="s">
        <x:v>14</x:v>
      </x:c>
      <x:c r="C61" s="33" t="s">
        <x:v>344</x:v>
      </x:c>
      <x:c r="D61" s="34" t="s">
        <x:v>345</x:v>
      </x:c>
      <x:c r="E61" s="33" t="s">
        <x:v>346</x:v>
      </x:c>
      <x:c r="F61" s="33" t="s">
        <x:v>347</x:v>
      </x:c>
      <x:c r="G61" s="33" t="s">
        <x:v>348</x:v>
      </x:c>
    </x:row>
    <x:row r="62">
      <x:c r="A62" s="31" t="s">
        <x:v>349</x:v>
      </x:c>
      <x:c r="B62" s="32" t="s">
        <x:v>14</x:v>
      </x:c>
      <x:c r="C62" s="33" t="s">
        <x:v>344</x:v>
      </x:c>
      <x:c r="D62" s="34">
        <x:v>155</x:v>
      </x:c>
      <x:c r="E62" s="33" t="s">
        <x:v>350</x:v>
      </x:c>
      <x:c r="F62" s="33" t="s">
        <x:v>351</x:v>
      </x:c>
      <x:c r="G62" s="33" t="s">
        <x:v>352</x:v>
      </x:c>
    </x:row>
    <x:row r="63">
      <x:c r="A63" s="31" t="s">
        <x:v>353</x:v>
      </x:c>
      <x:c r="B63" s="32" t="s">
        <x:v>14</x:v>
      </x:c>
      <x:c r="C63" s="33" t="s">
        <x:v>344</x:v>
      </x:c>
      <x:c r="D63" s="34" t="s">
        <x:v>354</x:v>
      </x:c>
      <x:c r="E63" s="33" t="s">
        <x:v>355</x:v>
      </x:c>
      <x:c r="F63" s="33" t="s">
        <x:v>356</x:v>
      </x:c>
      <x:c r="G63" s="33" t="s">
        <x:v>357</x:v>
      </x:c>
    </x:row>
    <x:row r="64" ht="27">
      <x:c r="A64" s="31" t="s">
        <x:v>358</x:v>
      </x:c>
      <x:c r="B64" s="32" t="s">
        <x:v>14</x:v>
      </x:c>
      <x:c r="C64" s="33" t="s">
        <x:v>344</x:v>
      </x:c>
      <x:c r="D64" s="34" t="s">
        <x:v>359</x:v>
      </x:c>
      <x:c r="E64" s="33" t="s">
        <x:v>360</x:v>
      </x:c>
      <x:c r="F64" s="33" t="s">
        <x:v>361</x:v>
      </x:c>
      <x:c r="G64" s="33" t="s">
        <x:v>362</x:v>
      </x:c>
    </x:row>
    <x:row r="65">
      <x:c r="A65" s="31" t="s">
        <x:v>363</x:v>
      </x:c>
      <x:c r="B65" s="32" t="s">
        <x:v>14</x:v>
      </x:c>
      <x:c r="C65" s="33" t="s">
        <x:v>364</x:v>
      </x:c>
      <x:c r="D65" s="34" t="s">
        <x:v>365</x:v>
      </x:c>
      <x:c r="E65" s="33" t="s">
        <x:v>366</x:v>
      </x:c>
      <x:c r="F65" s="33" t="s">
        <x:v>367</x:v>
      </x:c>
      <x:c r="G65" s="33" t="s">
        <x:v>368</x:v>
      </x:c>
    </x:row>
    <x:row r="66">
      <x:c r="A66" s="31" t="s">
        <x:v>369</x:v>
      </x:c>
      <x:c r="B66" s="32" t="s">
        <x:v>14</x:v>
      </x:c>
      <x:c r="C66" s="33" t="s">
        <x:v>364</x:v>
      </x:c>
      <x:c r="D66" s="34" t="s">
        <x:v>370</x:v>
      </x:c>
      <x:c r="E66" s="33" t="s">
        <x:v>371</x:v>
      </x:c>
      <x:c r="F66" s="33" t="s">
        <x:v>372</x:v>
      </x:c>
      <x:c r="G66" s="33" t="s">
        <x:v>373</x:v>
      </x:c>
    </x:row>
    <x:row r="67">
      <x:c r="A67" s="37" t="s">
        <x:v>374</x:v>
      </x:c>
      <x:c r="B67" s="38" t="s">
        <x:v>14</x:v>
      </x:c>
      <x:c r="C67" s="39" t="s">
        <x:v>364</x:v>
      </x:c>
      <x:c r="D67" s="40" t="s">
        <x:v>375</x:v>
      </x:c>
      <x:c r="E67" s="39" t="s">
        <x:v>376</x:v>
      </x:c>
      <x:c r="F67" s="39" t="s">
        <x:v>377</x:v>
      </x:c>
      <x:c r="G67" s="39" t="s">
        <x:v>378</x:v>
      </x:c>
    </x:row>
    <x:row r="68" ht="27">
      <x:c r="A68" s="41" t="s">
        <x:v>379</x:v>
      </x:c>
      <x:c r="B68" s="42" t="s">
        <x:v>11</x:v>
      </x:c>
      <x:c r="C68" s="43" t="s">
        <x:v>30</x:v>
      </x:c>
      <x:c r="D68" s="43" t="s">
        <x:v>380</x:v>
      </x:c>
      <x:c r="E68" s="43" t="s">
        <x:v>381</x:v>
      </x:c>
      <x:c r="F68" s="43" t="s">
        <x:v>382</x:v>
      </x:c>
      <x:c r="G68" s="43" t="s">
        <x:v>383</x:v>
      </x:c>
    </x:row>
    <x:row r="69" ht="27">
      <x:c r="A69" s="41" t="s">
        <x:v>384</x:v>
      </x:c>
      <x:c r="B69" s="42" t="s">
        <x:v>11</x:v>
      </x:c>
      <x:c r="C69" s="43" t="s">
        <x:v>51</x:v>
      </x:c>
      <x:c r="D69" s="43" t="s">
        <x:v>385</x:v>
      </x:c>
      <x:c r="E69" s="43" t="s">
        <x:v>386</x:v>
      </x:c>
      <x:c r="F69" s="43" t="s">
        <x:v>387</x:v>
      </x:c>
      <x:c r="G69" s="43" t="s">
        <x:v>388</x:v>
      </x:c>
    </x:row>
    <x:row r="70" ht="27">
      <x:c r="A70" s="41" t="s">
        <x:v>389</x:v>
      </x:c>
      <x:c r="B70" s="42" t="s">
        <x:v>11</x:v>
      </x:c>
      <x:c r="C70" s="43" t="s">
        <x:v>390</x:v>
      </x:c>
      <x:c r="D70" s="43" t="s">
        <x:v>391</x:v>
      </x:c>
      <x:c r="E70" s="43" t="s">
        <x:v>392</x:v>
      </x:c>
      <x:c r="F70" s="43" t="s">
        <x:v>393</x:v>
      </x:c>
      <x:c r="G70" s="43" t="s">
        <x:v>394</x:v>
      </x:c>
    </x:row>
    <x:row r="71" ht="27">
      <x:c r="A71" s="41" t="s">
        <x:v>395</x:v>
      </x:c>
      <x:c r="B71" s="42" t="s">
        <x:v>11</x:v>
      </x:c>
      <x:c r="C71" s="43" t="s">
        <x:v>396</x:v>
      </x:c>
      <x:c r="D71" s="43" t="s">
        <x:v>397</x:v>
      </x:c>
      <x:c r="E71" s="43" t="s">
        <x:v>398</x:v>
      </x:c>
      <x:c r="F71" s="43" t="s">
        <x:v>399</x:v>
      </x:c>
      <x:c r="G71" s="43" t="s">
        <x:v>400</x:v>
      </x:c>
    </x:row>
    <x:row r="72">
      <x:c r="A72" s="41" t="s">
        <x:v>401</x:v>
      </x:c>
      <x:c r="B72" s="42" t="s">
        <x:v>11</x:v>
      </x:c>
      <x:c r="C72" s="43" t="s">
        <x:v>402</x:v>
      </x:c>
      <x:c r="D72" s="43" t="s">
        <x:v>403</x:v>
      </x:c>
      <x:c r="E72" s="43" t="s">
        <x:v>404</x:v>
      </x:c>
      <x:c r="F72" s="43" t="s">
        <x:v>405</x:v>
      </x:c>
      <x:c r="G72" s="43" t="s">
        <x:v>406</x:v>
      </x:c>
    </x:row>
    <x:row r="73" ht="27">
      <x:c r="A73" s="41" t="s">
        <x:v>407</x:v>
      </x:c>
      <x:c r="B73" s="42" t="s">
        <x:v>12</x:v>
      </x:c>
      <x:c r="C73" s="43" t="s">
        <x:v>408</x:v>
      </x:c>
      <x:c r="D73" s="43" t="s">
        <x:v>409</x:v>
      </x:c>
      <x:c r="E73" s="43" t="s">
        <x:v>410</x:v>
      </x:c>
      <x:c r="F73" s="43" t="s">
        <x:v>411</x:v>
      </x:c>
      <x:c r="G73" s="43" t="s">
        <x:v>412</x:v>
      </x:c>
    </x:row>
    <x:row r="74" ht="27">
      <x:c r="A74" s="41" t="s">
        <x:v>413</x:v>
      </x:c>
      <x:c r="B74" s="42" t="s">
        <x:v>14</x:v>
      </x:c>
      <x:c r="C74" s="43" t="s">
        <x:v>414</x:v>
      </x:c>
      <x:c r="D74" s="43" t="s">
        <x:v>397</x:v>
      </x:c>
      <x:c r="E74" s="43" t="s">
        <x:v>415</x:v>
      </x:c>
      <x:c r="F74" s="43" t="s">
        <x:v>416</x:v>
      </x:c>
      <x:c r="G74" s="43" t="s">
        <x:v>417</x:v>
      </x:c>
    </x:row>
    <x:row r="75" ht="27">
      <x:c r="A75" s="41" t="s">
        <x:v>418</x:v>
      </x:c>
      <x:c r="B75" s="42" t="s">
        <x:v>11</x:v>
      </x:c>
      <x:c r="C75" s="43" t="s">
        <x:v>30</x:v>
      </x:c>
      <x:c r="D75" s="43" t="s">
        <x:v>419</x:v>
      </x:c>
      <x:c r="E75" s="43" t="s">
        <x:v>420</x:v>
      </x:c>
      <x:c r="F75" s="43" t="s">
        <x:v>421</x:v>
      </x:c>
      <x:c r="G75" s="43" t="s">
        <x:v>422</x:v>
      </x:c>
    </x:row>
    <x:row r="76" ht="27">
      <x:c r="A76" s="41" t="s">
        <x:v>423</x:v>
      </x:c>
      <x:c r="B76" s="42" t="s">
        <x:v>11</x:v>
      </x:c>
      <x:c r="C76" s="43" t="s">
        <x:v>51</x:v>
      </x:c>
      <x:c r="D76" s="43" t="s">
        <x:v>424</x:v>
      </x:c>
      <x:c r="E76" s="43" t="s">
        <x:v>425</x:v>
      </x:c>
      <x:c r="F76" s="43" t="s">
        <x:v>426</x:v>
      </x:c>
      <x:c r="G76" s="43" t="s">
        <x:v>427</x:v>
      </x:c>
    </x:row>
    <x:row r="77" ht="27">
      <x:c r="A77" s="41" t="s">
        <x:v>428</x:v>
      </x:c>
      <x:c r="B77" s="42" t="s">
        <x:v>11</x:v>
      </x:c>
      <x:c r="C77" s="43" t="s">
        <x:v>429</x:v>
      </x:c>
      <x:c r="D77" s="43" t="s">
        <x:v>430</x:v>
      </x:c>
      <x:c r="E77" s="43" t="s">
        <x:v>431</x:v>
      </x:c>
      <x:c r="F77" s="43" t="s">
        <x:v>432</x:v>
      </x:c>
      <x:c r="G77" s="43" t="s">
        <x:v>433</x:v>
      </x:c>
    </x:row>
    <x:row r="78" ht="40.5">
      <x:c r="A78" s="41" t="s">
        <x:v>434</x:v>
      </x:c>
      <x:c r="B78" s="42" t="s">
        <x:v>12</x:v>
      </x:c>
      <x:c r="C78" s="43" t="s">
        <x:v>435</x:v>
      </x:c>
      <x:c r="D78" s="43" t="s">
        <x:v>436</x:v>
      </x:c>
      <x:c r="E78" s="43" t="s">
        <x:v>437</x:v>
      </x:c>
      <x:c r="F78" s="43" t="s">
        <x:v>438</x:v>
      </x:c>
      <x:c r="G78" s="43" t="s">
        <x:v>439</x:v>
      </x:c>
    </x:row>
    <x:row r="79" ht="27">
      <x:c r="A79" s="41" t="s">
        <x:v>440</x:v>
      </x:c>
      <x:c r="B79" s="42" t="s">
        <x:v>14</x:v>
      </x:c>
      <x:c r="C79" s="43" t="s">
        <x:v>441</x:v>
      </x:c>
      <x:c r="D79" s="43" t="s">
        <x:v>397</x:v>
      </x:c>
      <x:c r="E79" s="43" t="s">
        <x:v>442</x:v>
      </x:c>
      <x:c r="F79" s="43" t="s">
        <x:v>443</x:v>
      </x:c>
      <x:c r="G79" s="43" t="s">
        <x:v>444</x:v>
      </x:c>
    </x:row>
    <x:row r="80" ht="27">
      <x:c r="A80" s="41" t="s">
        <x:v>445</x:v>
      </x:c>
      <x:c r="B80" s="42" t="s">
        <x:v>11</x:v>
      </x:c>
      <x:c r="C80" s="43" t="s">
        <x:v>30</x:v>
      </x:c>
      <x:c r="D80" s="43" t="s">
        <x:v>446</x:v>
      </x:c>
      <x:c r="E80" s="43" t="s">
        <x:v>447</x:v>
      </x:c>
      <x:c r="F80" s="43" t="s">
        <x:v>448</x:v>
      </x:c>
      <x:c r="G80" s="43" t="s">
        <x:v>449</x:v>
      </x:c>
    </x:row>
    <x:row r="81">
      <x:c r="A81" s="41" t="s">
        <x:v>450</x:v>
      </x:c>
      <x:c r="B81" s="42" t="s">
        <x:v>11</x:v>
      </x:c>
      <x:c r="C81" s="43" t="s">
        <x:v>179</x:v>
      </x:c>
      <x:c r="D81" s="43" t="s">
        <x:v>451</x:v>
      </x:c>
      <x:c r="E81" s="43" t="s">
        <x:v>452</x:v>
      </x:c>
      <x:c r="F81" s="43" t="s">
        <x:v>453</x:v>
      </x:c>
      <x:c r="G81" s="43" t="s">
        <x:v>454</x:v>
      </x:c>
    </x:row>
    <x:row r="82" ht="27">
      <x:c r="A82" s="41" t="s">
        <x:v>455</x:v>
      </x:c>
      <x:c r="B82" s="42" t="s">
        <x:v>12</x:v>
      </x:c>
      <x:c r="C82" s="43" t="s">
        <x:v>456</x:v>
      </x:c>
      <x:c r="D82" s="43" t="s">
        <x:v>457</x:v>
      </x:c>
      <x:c r="E82" s="43" t="s">
        <x:v>458</x:v>
      </x:c>
      <x:c r="F82" s="43" t="s">
        <x:v>459</x:v>
      </x:c>
      <x:c r="G82" s="43" t="s">
        <x:v>460</x:v>
      </x:c>
    </x:row>
    <x:row r="83" ht="27">
      <x:c r="A83" s="41" t="s">
        <x:v>461</x:v>
      </x:c>
      <x:c r="B83" s="42" t="s">
        <x:v>14</x:v>
      </x:c>
      <x:c r="C83" s="43" t="s">
        <x:v>462</x:v>
      </x:c>
      <x:c r="D83" s="43" t="s">
        <x:v>397</x:v>
      </x:c>
      <x:c r="E83" s="43" t="s">
        <x:v>463</x:v>
      </x:c>
      <x:c r="F83" s="43" t="s">
        <x:v>464</x:v>
      </x:c>
      <x:c r="G83" s="43" t="s">
        <x:v>465</x:v>
      </x:c>
    </x:row>
    <x:row r="84" ht="27">
      <x:c r="A84" s="41" t="s">
        <x:v>466</x:v>
      </x:c>
      <x:c r="B84" s="42" t="s">
        <x:v>17</x:v>
      </x:c>
      <x:c r="C84" s="43" t="s">
        <x:v>467</x:v>
      </x:c>
      <x:c r="D84" s="43" t="s">
        <x:v>468</x:v>
      </x:c>
      <x:c r="E84" s="43" t="s">
        <x:v>469</x:v>
      </x:c>
      <x:c r="F84" s="43" t="s">
        <x:v>470</x:v>
      </x:c>
      <x:c r="G84" s="43" t="s">
        <x:v>471</x:v>
      </x:c>
    </x:row>
    <x:row r="85" ht="27">
      <x:c r="A85" s="41" t="s">
        <x:v>472</x:v>
      </x:c>
      <x:c r="B85" s="42" t="s">
        <x:v>15</x:v>
      </x:c>
      <x:c r="C85" s="43" t="s">
        <x:v>473</x:v>
      </x:c>
      <x:c r="D85" s="43" t="s">
        <x:v>474</x:v>
      </x:c>
      <x:c r="E85" s="43" t="s">
        <x:v>475</x:v>
      </x:c>
      <x:c r="F85" s="43" t="s">
        <x:v>476</x:v>
      </x:c>
      <x:c r="G85" s="43" t="s">
        <x:v>477</x:v>
      </x:c>
    </x:row>
    <x:row r="86" ht="27">
      <x:c r="A86" s="41" t="s">
        <x:v>478</x:v>
      </x:c>
      <x:c r="B86" s="42" t="s">
        <x:v>11</x:v>
      </x:c>
      <x:c r="C86" s="43" t="s">
        <x:v>479</x:v>
      </x:c>
      <x:c r="D86" s="43" t="s">
        <x:v>480</x:v>
      </x:c>
      <x:c r="E86" s="43" t="s">
        <x:v>481</x:v>
      </x:c>
      <x:c r="F86" s="43" t="s">
        <x:v>482</x:v>
      </x:c>
      <x:c r="G86" s="43" t="s">
        <x:v>483</x:v>
      </x:c>
    </x:row>
    <x:row r="87" ht="40.5">
      <x:c r="A87" s="41" t="s">
        <x:v>484</x:v>
      </x:c>
      <x:c r="B87" s="42" t="s">
        <x:v>16</x:v>
      </x:c>
      <x:c r="C87" s="43" t="s">
        <x:v>485</x:v>
      </x:c>
      <x:c r="D87" s="43" t="s">
        <x:v>486</x:v>
      </x:c>
      <x:c r="E87" s="43" t="s">
        <x:v>487</x:v>
      </x:c>
      <x:c r="F87" s="43" t="s">
        <x:v>488</x:v>
      </x:c>
      <x:c r="G87" s="43" t="s">
        <x:v>489</x:v>
      </x:c>
    </x:row>
    <x:row r="88" ht="27">
      <x:c r="A88" s="41" t="s">
        <x:v>490</x:v>
      </x:c>
      <x:c r="B88" s="42" t="s">
        <x:v>11</x:v>
      </x:c>
      <x:c r="C88" s="43" t="s">
        <x:v>51</x:v>
      </x:c>
      <x:c r="D88" s="43" t="s">
        <x:v>491</x:v>
      </x:c>
      <x:c r="E88" s="43" t="s">
        <x:v>492</x:v>
      </x:c>
      <x:c r="F88" s="43" t="s">
        <x:v>493</x:v>
      </x:c>
      <x:c r="G88" s="43" t="s">
        <x:v>494</x:v>
      </x:c>
    </x:row>
    <x:row r="89" ht="27">
      <x:c r="A89" s="41" t="s">
        <x:v>495</x:v>
      </x:c>
      <x:c r="B89" s="42" t="s">
        <x:v>16</x:v>
      </x:c>
      <x:c r="C89" s="43" t="s">
        <x:v>87</x:v>
      </x:c>
      <x:c r="D89" s="43" t="s">
        <x:v>496</x:v>
      </x:c>
      <x:c r="E89" s="43" t="s">
        <x:v>497</x:v>
      </x:c>
      <x:c r="F89" s="43" t="s">
        <x:v>498</x:v>
      </x:c>
      <x:c r="G89" s="43" t="s">
        <x:v>499</x:v>
      </x:c>
    </x:row>
    <x:row r="90" ht="27">
      <x:c r="A90" s="41" t="s">
        <x:v>500</x:v>
      </x:c>
      <x:c r="B90" s="42" t="s">
        <x:v>11</x:v>
      </x:c>
      <x:c r="C90" s="43" t="s">
        <x:v>501</x:v>
      </x:c>
      <x:c r="D90" s="43" t="s">
        <x:v>502</x:v>
      </x:c>
      <x:c r="E90" s="43" t="s">
        <x:v>503</x:v>
      </x:c>
      <x:c r="F90" s="43" t="s">
        <x:v>504</x:v>
      </x:c>
      <x:c r="G90" s="43" t="s">
        <x:v>505</x:v>
      </x:c>
    </x:row>
    <x:row r="91" ht="27">
      <x:c r="A91" s="41" t="s">
        <x:v>506</x:v>
      </x:c>
      <x:c r="B91" s="42" t="s">
        <x:v>14</x:v>
      </x:c>
      <x:c r="C91" s="43" t="s">
        <x:v>507</x:v>
      </x:c>
      <x:c r="D91" s="43" t="s">
        <x:v>508</x:v>
      </x:c>
      <x:c r="E91" s="43" t="s">
        <x:v>509</x:v>
      </x:c>
      <x:c r="F91" s="43" t="s">
        <x:v>510</x:v>
      </x:c>
      <x:c r="G91" s="43" t="s">
        <x:v>511</x:v>
      </x:c>
    </x:row>
  </x:sheetData>
  <x:conditionalFormatting sqref="B2:B91">
    <x:cfRule type="containsText" dxfId="20" priority="1" operator="containsText" text="Code">
      <x:formula>NOT(ISERROR(SEARCH("Code",B2)))</x:formula>
    </x:cfRule>
  </x:conditionalFormatting>
  <x:conditionalFormatting sqref="B2:B91">
    <x:cfRule type="containsText" dxfId="19" priority="2" operator="containsText" text="Configuration">
      <x:formula>NOT(ISERROR(SEARCH("Configuration",B2)))</x:formula>
    </x:cfRule>
  </x:conditionalFormatting>
  <x:conditionalFormatting sqref="B2:B91">
    <x:cfRule type="containsText" dxfId="18" priority="3" operator="containsText" text="Fabric / Docker">
      <x:formula>NOT(ISERROR(SEARCH("Fabric / Docker",B2)))</x:formula>
    </x:cfRule>
  </x:conditionalFormatting>
  <x:conditionalFormatting sqref="B2:B91">
    <x:cfRule type="containsText" dxfId="17" priority="4" operator="containsText" text="Documentation">
      <x:formula>NOT(ISERROR(SEARCH("Documentation",B2)))</x:formula>
    </x:cfRule>
  </x:conditionalFormatting>
  <x:conditionalFormatting sqref="B2:B91">
    <x:cfRule type="containsText" dxfId="16" priority="5" operator="containsText" text="Fabric Identity">
      <x:formula>NOT(ISERROR(SEARCH("Fabric Identity",B2)))</x:formula>
    </x:cfRule>
  </x:conditionalFormatting>
  <x:conditionalFormatting sqref="B2:B91">
    <x:cfRule type="containsText" dxfId="15" priority="6" operator="containsText" text="Fabric / Chaincode">
      <x:formula>NOT(ISERROR(SEARCH("Fabric / Chaincode",B2)))</x:formula>
    </x:cfRule>
  </x:conditionalFormatting>
  <x:conditionalFormatting sqref="B2:B91">
    <x:cfRule type="containsText" dxfId="14" priority="7" operator="containsText" text="Tests / Deployment">
      <x:formula>NOT(ISERROR(SEARCH("Tests / Deployment",B2)))</x:formula>
    </x:cfRule>
  </x:conditionalFormatting>
  <x:pageMargins left="0.7" right="0.7" top="0.75" bottom="0.75" header="0.3" footer="0.3"/>
  <x:tableParts count="1">
    <x:tablePart xmlns:r="http://schemas.openxmlformats.org/officeDocument/2006/relationships" r:id="R4a7c32b0810e4259"/>
  </x:tableParts>
</x:worksheet>
</file>

<file path=xl/worksheets/sheet3.xml><?xml version="1.0" encoding="utf-8"?>
<x:worksheet xmlns:x="http://schemas.openxmlformats.org/spreadsheetml/2006/main">
  <x:sheetFormatPr defaultRowHeight="15"/>
  <x:cols>
    <x:col min="1" max="1" width="10.42578125" style="46" customWidth="1"/>
    <x:col min="2" max="2" width="46" style="30" customWidth="1"/>
    <x:col min="3" max="3" width="29.85546875" style="30" customWidth="1"/>
    <x:col min="4" max="4" width="77.7109375" style="30" customWidth="1"/>
    <x:col min="5" max="5" width="142.85546875" style="30" customWidth="1"/>
    <x:col min="6" max="16384" width="9.140625" style="30" customWidth="0"/>
  </x:cols>
  <x:sheetData>
    <x:row r="1" s="48" customFormat="1">
      <x:c r="A1" s="47" t="s">
        <x:v>23</x:v>
      </x:c>
      <x:c r="B1" s="47" t="s">
        <x:v>512</x:v>
      </x:c>
      <x:c r="C1" s="47" t="s">
        <x:v>513</x:v>
      </x:c>
      <x:c r="D1" s="47" t="s">
        <x:v>514</x:v>
      </x:c>
      <x:c r="E1" s="47" t="s">
        <x:v>515</x:v>
      </x:c>
    </x:row>
    <x:row r="2">
      <x:c r="A2" s="44" t="s">
        <x:v>516</x:v>
      </x:c>
      <x:c r="B2" s="45" t="s">
        <x:v>517</x:v>
      </x:c>
      <x:c r="C2" s="45" t="s">
        <x:v>518</x:v>
      </x:c>
      <x:c r="D2" s="45" t="s">
        <x:v>519</x:v>
      </x:c>
      <x:c r="E2" s="45" t="s">
        <x:v>520</x:v>
      </x:c>
    </x:row>
    <x:row r="3">
      <x:c r="A3" s="44" t="s">
        <x:v>521</x:v>
      </x:c>
      <x:c r="B3" s="45" t="s">
        <x:v>522</x:v>
      </x:c>
      <x:c r="C3" s="45" t="s">
        <x:v>523</x:v>
      </x:c>
      <x:c r="D3" s="45" t="s">
        <x:v>524</x:v>
      </x:c>
      <x:c r="E3" s="45" t="s">
        <x:v>525</x:v>
      </x:c>
    </x:row>
    <x:row r="4">
      <x:c r="A4" s="44" t="s">
        <x:v>526</x:v>
      </x:c>
      <x:c r="B4" s="45" t="s">
        <x:v>527</x:v>
      </x:c>
      <x:c r="C4" s="45" t="s">
        <x:v>528</x:v>
      </x:c>
      <x:c r="D4" s="45" t="s">
        <x:v>529</x:v>
      </x:c>
      <x:c r="E4" s="45" t="s">
        <x:v>530</x:v>
      </x:c>
    </x:row>
    <x:row r="5">
      <x:c r="A5" s="44" t="s">
        <x:v>531</x:v>
      </x:c>
      <x:c r="B5" s="45" t="s">
        <x:v>532</x:v>
      </x:c>
      <x:c r="C5" s="45" t="s">
        <x:v>533</x:v>
      </x:c>
      <x:c r="D5" s="45" t="s">
        <x:v>534</x:v>
      </x:c>
      <x:c r="E5" s="45" t="s">
        <x:v>535</x:v>
      </x:c>
    </x:row>
    <x:row r="6">
      <x:c r="A6" s="44" t="s">
        <x:v>536</x:v>
      </x:c>
      <x:c r="B6" s="45" t="s">
        <x:v>537</x:v>
      </x:c>
      <x:c r="C6" s="45" t="s">
        <x:v>538</x:v>
      </x:c>
      <x:c r="D6" s="45" t="s">
        <x:v>539</x:v>
      </x:c>
      <x:c r="E6" s="45" t="s">
        <x:v>540</x:v>
      </x:c>
    </x:row>
    <x:row r="7" ht="27">
      <x:c r="A7" s="44" t="s">
        <x:v>541</x:v>
      </x:c>
      <x:c r="B7" s="45" t="s">
        <x:v>542</x:v>
      </x:c>
      <x:c r="C7" s="45" t="s">
        <x:v>543</x:v>
      </x:c>
      <x:c r="D7" s="45" t="s">
        <x:v>544</x:v>
      </x:c>
      <x:c r="E7" s="45" t="s">
        <x:v>545</x:v>
      </x:c>
    </x:row>
    <x:row r="8">
      <x:c r="A8" s="44" t="s">
        <x:v>546</x:v>
      </x:c>
      <x:c r="B8" s="45" t="s">
        <x:v>547</x:v>
      </x:c>
      <x:c r="C8" s="45" t="s">
        <x:v>548</x:v>
      </x:c>
      <x:c r="D8" s="45" t="s">
        <x:v>549</x:v>
      </x:c>
      <x:c r="E8" s="45" t="s">
        <x:v>550</x:v>
      </x:c>
    </x:row>
    <x:row r="9">
      <x:c r="A9" s="44" t="s">
        <x:v>551</x:v>
      </x:c>
      <x:c r="B9" s="45" t="s">
        <x:v>552</x:v>
      </x:c>
      <x:c r="C9" s="45" t="s">
        <x:v>553</x:v>
      </x:c>
      <x:c r="D9" s="45" t="s">
        <x:v>554</x:v>
      </x:c>
      <x:c r="E9" s="45" t="s">
        <x:v>555</x:v>
      </x:c>
    </x:row>
    <x:row r="10" ht="27">
      <x:c r="A10" s="44" t="s">
        <x:v>556</x:v>
      </x:c>
      <x:c r="B10" s="45" t="s">
        <x:v>557</x:v>
      </x:c>
      <x:c r="C10" s="45" t="s">
        <x:v>558</x:v>
      </x:c>
      <x:c r="D10" s="45" t="s">
        <x:v>559</x:v>
      </x:c>
      <x:c r="E10" s="45" t="s">
        <x:v>560</x:v>
      </x:c>
    </x:row>
  </x:sheetData>
  <x:pageMargins left="0.7" right="0.7" top="0.75" bottom="0.75" header="0.3" footer="0.3"/>
  <x:tableParts count="1">
    <x:tablePart xmlns:r="http://schemas.openxmlformats.org/officeDocument/2006/relationships" r:id="R83a637c6425b46ea"/>
  </x:tableParts>
</x:worksheet>
</file>

<file path=xl/worksheets/sheet4.xml><?xml version="1.0" encoding="utf-8"?>
<x:worksheet xmlns:x="http://schemas.openxmlformats.org/spreadsheetml/2006/main">
  <x:sheetFormatPr defaultRowHeight="15"/>
  <x:cols>
    <x:col min="1" max="1" width="56.5703125" style="30" customWidth="1"/>
    <x:col min="2" max="2" width="142.85546875" style="30" customWidth="1"/>
    <x:col min="3" max="3" width="21.85546875" style="30" customWidth="1"/>
    <x:col min="4" max="16384" width="9.140625" style="30" customWidth="0"/>
  </x:cols>
  <x:sheetData>
    <x:row r="1">
      <x:c r="A1" s="24" t="s">
        <x:v>561</x:v>
      </x:c>
      <x:c r="B1" s="24" t="s">
        <x:v>562</x:v>
      </x:c>
      <x:c r="C1" s="24" t="s">
        <x:v>563</x:v>
      </x:c>
    </x:row>
    <x:row r="2">
      <x:c r="A2" s="45" t="s">
        <x:v>564</x:v>
      </x:c>
      <x:c r="B2" s="45" t="s">
        <x:v>565</x:v>
      </x:c>
      <x:c r="C2" s="49" t="s">
        <x:v>566</x:v>
      </x:c>
    </x:row>
    <x:row r="3">
      <x:c r="A3" s="45" t="s">
        <x:v>567</x:v>
      </x:c>
      <x:c r="B3" s="45" t="s">
        <x:v>568</x:v>
      </x:c>
      <x:c r="C3" s="49" t="s">
        <x:v>566</x:v>
      </x:c>
    </x:row>
    <x:row r="4">
      <x:c r="A4" s="45" t="s">
        <x:v>569</x:v>
      </x:c>
      <x:c r="B4" s="45" t="s">
        <x:v>570</x:v>
      </x:c>
      <x:c r="C4" s="49" t="s">
        <x:v>566</x:v>
      </x:c>
    </x:row>
    <x:row r="5">
      <x:c r="A5" s="45" t="s">
        <x:v>571</x:v>
      </x:c>
      <x:c r="B5" s="45" t="s">
        <x:v>572</x:v>
      </x:c>
      <x:c r="C5" s="49" t="s">
        <x:v>566</x:v>
      </x:c>
    </x:row>
    <x:row r="6">
      <x:c r="A6" s="45" t="s">
        <x:v>573</x:v>
      </x:c>
      <x:c r="B6" s="45" t="s">
        <x:v>574</x:v>
      </x:c>
      <x:c r="C6" s="49" t="s">
        <x:v>566</x:v>
      </x:c>
    </x:row>
    <x:row r="7">
      <x:c r="A7" s="45" t="s">
        <x:v>575</x:v>
      </x:c>
      <x:c r="B7" s="45" t="s">
        <x:v>576</x:v>
      </x:c>
      <x:c r="C7" s="49" t="s">
        <x:v>566</x:v>
      </x:c>
    </x:row>
    <x:row r="8">
      <x:c r="A8" s="45" t="s">
        <x:v>577</x:v>
      </x:c>
      <x:c r="B8" s="45" t="s">
        <x:v>578</x:v>
      </x:c>
      <x:c r="C8" s="49" t="s">
        <x:v>566</x:v>
      </x:c>
    </x:row>
    <x:row r="9">
      <x:c r="A9" s="45" t="s">
        <x:v>579</x:v>
      </x:c>
      <x:c r="B9" s="45" t="s">
        <x:v>580</x:v>
      </x:c>
      <x:c r="C9" s="49" t="s">
        <x:v>566</x:v>
      </x:c>
    </x:row>
    <x:row r="10">
      <x:c r="A10" s="45" t="s">
        <x:v>581</x:v>
      </x:c>
      <x:c r="B10" s="45" t="s">
        <x:v>582</x:v>
      </x:c>
      <x:c r="C10" s="49" t="s">
        <x:v>583</x:v>
      </x:c>
    </x:row>
    <x:row r="11">
      <x:c r="A11" s="45" t="s">
        <x:v>584</x:v>
      </x:c>
      <x:c r="B11" s="45" t="s">
        <x:v>585</x:v>
      </x:c>
      <x:c r="C11" s="49" t="s">
        <x:v>566</x:v>
      </x:c>
    </x:row>
    <x:row r="12">
      <x:c r="A12" s="45" t="s">
        <x:v>586</x:v>
      </x:c>
      <x:c r="B12" s="45" t="s">
        <x:v>587</x:v>
      </x:c>
      <x:c r="C12" s="49" t="s">
        <x:v>566</x:v>
      </x:c>
    </x:row>
    <x:row r="13">
      <x:c r="A13" s="45" t="s">
        <x:v>588</x:v>
      </x:c>
      <x:c r="B13" s="45" t="s">
        <x:v>589</x:v>
      </x:c>
      <x:c r="C13" s="49" t="s">
        <x:v>566</x:v>
      </x:c>
    </x:row>
    <x:row r="14">
      <x:c r="A14" s="45" t="s">
        <x:v>590</x:v>
      </x:c>
      <x:c r="B14" s="45" t="s">
        <x:v>591</x:v>
      </x:c>
      <x:c r="C14" s="49" t="s">
        <x:v>566</x:v>
      </x:c>
    </x:row>
    <x:row r="15">
      <x:c r="A15" s="45" t="s">
        <x:v>592</x:v>
      </x:c>
      <x:c r="B15" s="45" t="s">
        <x:v>593</x:v>
      </x:c>
      <x:c r="C15" s="49" t="s">
        <x:v>566</x:v>
      </x:c>
    </x:row>
    <x:row r="16">
      <x:c r="A16" s="45" t="s">
        <x:v>594</x:v>
      </x:c>
      <x:c r="B16" s="45" t="s">
        <x:v>595</x:v>
      </x:c>
      <x:c r="C16" s="49" t="s">
        <x:v>566</x:v>
      </x:c>
    </x:row>
    <x:row r="17">
      <x:c r="A17" s="45" t="s">
        <x:v>596</x:v>
      </x:c>
      <x:c r="B17" s="45" t="s">
        <x:v>597</x:v>
      </x:c>
      <x:c r="C17" s="49" t="s">
        <x:v>583</x:v>
      </x:c>
    </x:row>
    <x:row r="18">
      <x:c r="A18" s="45" t="s">
        <x:v>598</x:v>
      </x:c>
      <x:c r="B18" s="45" t="s">
        <x:v>599</x:v>
      </x:c>
      <x:c r="C18" s="49" t="s">
        <x:v>566</x:v>
      </x:c>
    </x:row>
    <x:row r="19">
      <x:c r="A19" s="45" t="s">
        <x:v>600</x:v>
      </x:c>
      <x:c r="B19" s="45" t="s">
        <x:v>601</x:v>
      </x:c>
      <x:c r="C19" s="49" t="s">
        <x:v>566</x:v>
      </x:c>
    </x:row>
    <x:row r="20">
      <x:c r="A20" s="45" t="s">
        <x:v>602</x:v>
      </x:c>
      <x:c r="B20" s="45" t="s">
        <x:v>603</x:v>
      </x:c>
      <x:c r="C20" s="49" t="s">
        <x:v>566</x:v>
      </x:c>
    </x:row>
    <x:row r="21">
      <x:c r="A21" s="45" t="s">
        <x:v>604</x:v>
      </x:c>
      <x:c r="B21" s="45" t="s">
        <x:v>605</x:v>
      </x:c>
      <x:c r="C21" s="49" t="s">
        <x:v>566</x:v>
      </x:c>
    </x:row>
    <x:row r="22">
      <x:c r="A22" s="45" t="s">
        <x:v>606</x:v>
      </x:c>
      <x:c r="B22" s="45" t="s">
        <x:v>607</x:v>
      </x:c>
      <x:c r="C22" s="49" t="s">
        <x:v>566</x:v>
      </x:c>
    </x:row>
    <x:row r="23">
      <x:c r="A23" s="45" t="s">
        <x:v>608</x:v>
      </x:c>
      <x:c r="B23" s="45" t="s">
        <x:v>609</x:v>
      </x:c>
      <x:c r="C23" s="49" t="s">
        <x:v>566</x:v>
      </x:c>
    </x:row>
    <x:row r="24" ht="27">
      <x:c r="A24" s="45" t="s">
        <x:v>610</x:v>
      </x:c>
      <x:c r="B24" s="45" t="s">
        <x:v>611</x:v>
      </x:c>
      <x:c r="C24" s="49" t="s">
        <x:v>566</x:v>
      </x:c>
    </x:row>
    <x:row r="25" ht="27">
      <x:c r="A25" s="45" t="s">
        <x:v>612</x:v>
      </x:c>
      <x:c r="B25" s="45" t="s">
        <x:v>613</x:v>
      </x:c>
      <x:c r="C25" s="49" t="s">
        <x:v>566</x:v>
      </x:c>
    </x:row>
    <x:row r="26" ht="27">
      <x:c r="A26" s="45" t="s">
        <x:v>614</x:v>
      </x:c>
      <x:c r="B26" s="45" t="s">
        <x:v>615</x:v>
      </x:c>
      <x:c r="C26" s="49" t="s">
        <x:v>583</x:v>
      </x:c>
    </x:row>
    <x:row r="27">
      <x:c r="A27" s="45" t="s">
        <x:v>616</x:v>
      </x:c>
      <x:c r="B27" s="45" t="s">
        <x:v>617</x:v>
      </x:c>
      <x:c r="C27" s="49" t="s">
        <x:v>566</x:v>
      </x:c>
    </x:row>
    <x:row r="28" ht="27">
      <x:c r="A28" s="45" t="s">
        <x:v>618</x:v>
      </x:c>
      <x:c r="B28" s="45" t="str">
        <x:v>Pass. Checkout b30cae6 deployed; basic 1.0.2 sequence 4 committed with both MSP approvals; 13 authenticated canonical, validation, role, actor, and consent-denial checks passed.</x:v>
      </x:c>
      <x:c r="C28" s="49" t="str">
        <x:v>Pass</x:v>
      </x:c>
    </x:row>
  </x:sheetData>
  <x:conditionalFormatting sqref="C2:C28">
    <x:cfRule type="expression" dxfId="11" priority="1">
      <x:formula>ISNUMBER(SEARCH("pending",C2))</x:formula>
    </x:cfRule>
  </x:conditionalFormatting>
  <x:conditionalFormatting sqref="C2:C28">
    <x:cfRule type="expression" dxfId="10" priority="2">
      <x:formula>ISNUMBER(SEARCH("warning",C2))</x:formula>
    </x:cfRule>
  </x:conditionalFormatting>
  <x:conditionalFormatting sqref="C2:C28">
    <x:cfRule type="expression" dxfId="9" priority="3">
      <x:formula>EXACT(C2,"Pass")</x:formula>
    </x:cfRule>
  </x:conditionalFormatting>
  <x:pageMargins left="0.7" right="0.7" top="0.75" bottom="0.75" header="0.3" footer="0.3"/>
  <x:tableParts count="1">
    <x:tablePart xmlns:r="http://schemas.openxmlformats.org/officeDocument/2006/relationships" r:id="R857961ab23204b6e"/>
  </x:tableParts>
</x:worksheet>
</file>

<file path=xl/worksheets/sheet5.xml><?xml version="1.0" encoding="utf-8"?>
<x:worksheet xmlns:x="http://schemas.openxmlformats.org/spreadsheetml/2006/main">
  <x:sheetFormatPr defaultRowHeight="15"/>
  <x:cols>
    <x:col min="1" max="1" width="36.5703125" style="30" customWidth="1"/>
    <x:col min="2" max="2" width="216.85546875" style="30" customWidth="1"/>
    <x:col min="3" max="16384" width="9.140625" style="30" customWidth="0"/>
  </x:cols>
  <x:sheetData>
    <x:row r="1">
      <x:c r="A1" s="23" t="s">
        <x:v>619</x:v>
      </x:c>
      <x:c r="B1" s="23" t="s">
        <x:v>620</x:v>
      </x:c>
    </x:row>
    <x:row r="2">
      <x:c r="A2" s="50" t="s">
        <x:v>621</x:v>
      </x:c>
      <x:c r="B2" s="45" t="s">
        <x:v>622</x:v>
      </x:c>
    </x:row>
    <x:row r="3">
      <x:c r="A3" s="50" t="s">
        <x:v>623</x:v>
      </x:c>
      <x:c r="B3" s="45" t="s">
        <x:v>624</x:v>
      </x:c>
    </x:row>
    <x:row r="4">
      <x:c r="A4" s="50" t="s">
        <x:v>625</x:v>
      </x:c>
      <x:c r="B4" s="45" t="s">
        <x:v>626</x:v>
      </x:c>
    </x:row>
    <x:row r="5">
      <x:c r="A5" s="50" t="s">
        <x:v>627</x:v>
      </x:c>
      <x:c r="B5" s="45" t="s">
        <x:v>628</x:v>
      </x:c>
    </x:row>
    <x:row r="6">
      <x:c r="A6" s="50" t="s">
        <x:v>629</x:v>
      </x:c>
      <x:c r="B6" s="45" t="s">
        <x:v>630</x:v>
      </x:c>
    </x:row>
    <x:row r="7">
      <x:c r="A7" s="45" t="s">
        <x:v>631</x:v>
      </x:c>
      <x:c r="B7" s="45" t="s">
        <x:v>632</x:v>
      </x:c>
    </x:row>
    <x:row r="8">
      <x:c r="A8" s="45" t="s">
        <x:v>633</x:v>
      </x:c>
      <x:c r="B8" s="45" t="s">
        <x:v>634</x:v>
      </x:c>
    </x:row>
    <x:row r="9">
      <x:c r="A9" s="45" t="s">
        <x:v>635</x:v>
      </x:c>
      <x:c r="B9" s="45" t="s">
        <x:v>636</x:v>
      </x:c>
    </x:row>
    <x:row r="10">
      <x:c r="A10" s="45" t="s">
        <x:v>637</x:v>
      </x:c>
      <x:c r="B10" s="45" t="s">
        <x:v>638</x:v>
      </x:c>
    </x:row>
    <x:row r="11" ht="27">
      <x:c r="A11" s="45" t="s">
        <x:v>639</x:v>
      </x:c>
      <x:c r="B11" s="45" t="s">
        <x:v>640</x:v>
      </x:c>
    </x:row>
    <x:row r="12">
      <x:c r="A12" s="45" t="str">
        <x:v>Phase 3 AWS rollout completed</x:v>
      </x:c>
      <x:c r="B12" s="45" t="str">
        <x:v>Passed 2026-07-11. No DB migration required. Backup: /home/ubuntu/deployment-backups/20260711-phase3-predeploy.</x:v>
      </x:c>
    </x:row>
  </x:sheetData>
  <x:pageMargins left="0.7" right="0.7" top="0.75" bottom="0.75" header="0.3" footer="0.3"/>
  <x:tableParts count="1">
    <x:tablePart xmlns:r="http://schemas.openxmlformats.org/officeDocument/2006/relationships" r:id="R2ad1a57f3f6149b0"/>
  </x:tableParts>
</x:worksheet>
</file>

<file path=xl/worksheets/sheet6.xml><?xml version="1.0" encoding="utf-8"?>
<x:worksheet xmlns:x="http://schemas.openxmlformats.org/spreadsheetml/2006/main">
  <x:sheetFormatPr defaultRowHeight="15"/>
  <x:cols>
    <x:col min="1" max="1" width="13.28515625" style="46" customWidth="1"/>
    <x:col min="2" max="2" width="36" style="30" customWidth="1"/>
    <x:col min="3" max="3" width="53.85546875" style="30" customWidth="1"/>
    <x:col min="4" max="4" width="59.85546875" style="30" customWidth="1"/>
    <x:col min="5" max="5" width="65.7109375" style="30" customWidth="1"/>
    <x:col min="6" max="6" width="95" style="30" customWidth="1"/>
    <x:col min="7" max="16384" width="9.140625" style="30" customWidth="0"/>
  </x:cols>
  <x:sheetData>
    <x:row r="1" s="48" customFormat="1">
      <x:c r="A1" s="53" t="s">
        <x:v>23</x:v>
      </x:c>
      <x:c r="B1" s="53" t="s">
        <x:v>513</x:v>
      </x:c>
      <x:c r="C1" s="53" t="s">
        <x:v>641</x:v>
      </x:c>
      <x:c r="D1" s="53" t="s">
        <x:v>642</x:v>
      </x:c>
      <x:c r="E1" s="53" t="s">
        <x:v>643</x:v>
      </x:c>
      <x:c r="F1" s="53" t="s">
        <x:v>644</x:v>
      </x:c>
    </x:row>
    <x:row r="2" ht="27">
      <x:c r="A2" s="52" t="s">
        <x:v>645</x:v>
      </x:c>
      <x:c r="B2" s="51" t="s">
        <x:v>646</x:v>
      </x:c>
      <x:c r="C2" s="51" t="s">
        <x:v>647</x:v>
      </x:c>
      <x:c r="D2" s="51" t="s">
        <x:v>648</x:v>
      </x:c>
      <x:c r="E2" s="51" t="s">
        <x:v>649</x:v>
      </x:c>
      <x:c r="F2" s="51" t="s">
        <x:v>650</x:v>
      </x:c>
    </x:row>
    <x:row r="3">
      <x:c r="A3" s="52" t="s">
        <x:v>651</x:v>
      </x:c>
      <x:c r="B3" s="51" t="s">
        <x:v>652</x:v>
      </x:c>
      <x:c r="C3" s="51" t="s">
        <x:v>653</x:v>
      </x:c>
      <x:c r="D3" s="51" t="s">
        <x:v>654</x:v>
      </x:c>
      <x:c r="E3" s="51" t="s">
        <x:v>655</x:v>
      </x:c>
      <x:c r="F3" s="51" t="s">
        <x:v>656</x:v>
      </x:c>
    </x:row>
    <x:row r="4" ht="27">
      <x:c r="A4" s="52" t="s">
        <x:v>657</x:v>
      </x:c>
      <x:c r="B4" s="51" t="s">
        <x:v>658</x:v>
      </x:c>
      <x:c r="C4" s="51" t="s">
        <x:v>659</x:v>
      </x:c>
      <x:c r="D4" s="51" t="s">
        <x:v>660</x:v>
      </x:c>
      <x:c r="E4" s="51" t="s">
        <x:v>661</x:v>
      </x:c>
      <x:c r="F4" s="51" t="s">
        <x:v>662</x:v>
      </x:c>
    </x:row>
    <x:row r="5" ht="40.5">
      <x:c r="A5" s="52" t="s">
        <x:v>663</x:v>
      </x:c>
      <x:c r="B5" s="51" t="s">
        <x:v>664</x:v>
      </x:c>
      <x:c r="C5" s="51" t="s">
        <x:v>665</x:v>
      </x:c>
      <x:c r="D5" s="51" t="s">
        <x:v>666</x:v>
      </x:c>
      <x:c r="E5" s="51" t="s">
        <x:v>667</x:v>
      </x:c>
      <x:c r="F5" s="51" t="s">
        <x:v>668</x:v>
      </x:c>
    </x:row>
    <x:row r="6" ht="27">
      <x:c r="A6" s="44" t="s">
        <x:v>669</x:v>
      </x:c>
      <x:c r="B6" s="45" t="s">
        <x:v>670</x:v>
      </x:c>
      <x:c r="C6" s="45" t="s">
        <x:v>671</x:v>
      </x:c>
      <x:c r="D6" s="45" t="s">
        <x:v>672</x:v>
      </x:c>
      <x:c r="E6" s="45" t="s">
        <x:v>673</x:v>
      </x:c>
      <x:c r="F6" s="45" t="str">
        <x:v>Passed 2026-07-11. AWS checkout b30cae6; PM2 Blockchain API online; basic 1.0.2 sequence 4 committed with Org1MSP/Org2MSP approvals; 13 authenticated smoke checks passed.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0" customWidth="1"/>
    <x:col min="2" max="2" width="22.85546875" style="30" customWidth="1"/>
    <x:col min="3" max="3" width="65.85546875" style="30" customWidth="1"/>
    <x:col min="4" max="4" width="59.5703125" style="30" customWidth="1"/>
    <x:col min="5" max="5" width="38.28515625" style="30" customWidth="1"/>
    <x:col min="6" max="6" width="76" style="30" customWidth="1"/>
    <x:col min="7" max="7" width="70.140625" style="30" customWidth="1"/>
    <x:col min="8" max="16384" width="9.140625" style="30" customWidth="0"/>
  </x:cols>
  <x:sheetData>
    <x:row r="1">
      <x:c r="A1" s="21" t="s">
        <x:v>674</x:v>
      </x:c>
      <x:c r="B1" s="21" t="s">
        <x:v>675</x:v>
      </x:c>
      <x:c r="C1" s="21" t="s">
        <x:v>676</x:v>
      </x:c>
      <x:c r="D1" s="21" t="s">
        <x:v>677</x:v>
      </x:c>
      <x:c r="E1" s="21" t="s">
        <x:v>678</x:v>
      </x:c>
      <x:c r="F1" s="21" t="s">
        <x:v>679</x:v>
      </x:c>
      <x:c r="G1" s="21" t="s">
        <x:v>680</x:v>
      </x:c>
    </x:row>
    <x:row r="2" ht="40.5">
      <x:c r="A2" s="54" t="s">
        <x:v>484</x:v>
      </x:c>
      <x:c r="B2" s="51" t="s">
        <x:v>681</x:v>
      </x:c>
      <x:c r="C2" s="51" t="s">
        <x:v>682</x:v>
      </x:c>
      <x:c r="D2" s="51" t="s">
        <x:v>683</x:v>
      </x:c>
      <x:c r="E2" s="51" t="s">
        <x:v>684</x:v>
      </x:c>
      <x:c r="F2" s="51" t="s">
        <x:v>685</x:v>
      </x:c>
      <x:c r="G2" s="51" t="s">
        <x:v>686</x:v>
      </x:c>
    </x:row>
    <x:row r="3" ht="27">
      <x:c r="A3" s="54" t="s">
        <x:v>478</x:v>
      </x:c>
      <x:c r="B3" s="51" t="s">
        <x:v>687</x:v>
      </x:c>
      <x:c r="C3" s="51" t="s">
        <x:v>688</x:v>
      </x:c>
      <x:c r="D3" s="51" t="s">
        <x:v>689</x:v>
      </x:c>
      <x:c r="E3" s="51" t="s">
        <x:v>690</x:v>
      </x:c>
      <x:c r="F3" s="51" t="s">
        <x:v>691</x:v>
      </x:c>
      <x:c r="G3" s="51" t="s">
        <x:v>692</x:v>
      </x:c>
    </x:row>
    <x:row r="4" ht="27">
      <x:c r="A4" s="54" t="s">
        <x:v>472</x:v>
      </x:c>
      <x:c r="B4" s="51" t="s">
        <x:v>693</x:v>
      </x:c>
      <x:c r="C4" s="51" t="s">
        <x:v>694</x:v>
      </x:c>
      <x:c r="D4" s="51" t="s">
        <x:v>695</x:v>
      </x:c>
      <x:c r="E4" s="51" t="s">
        <x:v>696</x:v>
      </x:c>
      <x:c r="F4" s="51" t="s">
        <x:v>697</x:v>
      </x:c>
      <x:c r="G4" s="51" t="s">
        <x:v>698</x:v>
      </x:c>
    </x:row>
    <x:row r="5" ht="27">
      <x:c r="A5" s="54" t="s">
        <x:v>466</x:v>
      </x:c>
      <x:c r="B5" s="51" t="s">
        <x:v>699</x:v>
      </x:c>
      <x:c r="C5" s="51" t="s">
        <x:v>700</x:v>
      </x:c>
      <x:c r="D5" s="51" t="s">
        <x:v>701</x:v>
      </x:c>
      <x:c r="E5" s="51" t="s">
        <x:v>702</x:v>
      </x:c>
      <x:c r="F5" s="51" t="s">
        <x:v>703</x:v>
      </x:c>
      <x:c r="G5" s="51" t="s">
        <x:v>704</x:v>
      </x:c>
    </x:row>
    <x:row r="6" ht="27">
      <x:c r="A6" s="54" t="s">
        <x:v>705</x:v>
      </x:c>
      <x:c r="B6" s="51" t="s">
        <x:v>706</x:v>
      </x:c>
      <x:c r="C6" s="51" t="s">
        <x:v>707</x:v>
      </x:c>
      <x:c r="D6" s="51" t="s">
        <x:v>708</x:v>
      </x:c>
      <x:c r="E6" s="51" t="s">
        <x:v>709</x:v>
      </x:c>
      <x:c r="F6" s="51" t="s">
        <x:v>710</x:v>
      </x:c>
      <x:c r="G6" s="51" t="s">
        <x:v>711</x:v>
      </x:c>
    </x:row>
    <x:row r="7" ht="27">
      <x:c r="A7" s="54" t="s">
        <x:v>712</x:v>
      </x:c>
      <x:c r="B7" s="51" t="s">
        <x:v>713</x:v>
      </x:c>
      <x:c r="C7" s="51" t="s">
        <x:v>714</x:v>
      </x:c>
      <x:c r="D7" s="51" t="s">
        <x:v>715</x:v>
      </x:c>
      <x:c r="E7" s="51" t="s">
        <x:v>716</x:v>
      </x:c>
      <x:c r="F7" s="51" t="s">
        <x:v>717</x:v>
      </x:c>
      <x:c r="G7" s="51" t="s">
        <x:v>718</x:v>
      </x:c>
    </x:row>
    <x:row r="8" ht="27">
      <x:c r="A8" s="54" t="s">
        <x:v>719</x:v>
      </x:c>
      <x:c r="B8" s="51" t="s">
        <x:v>720</x:v>
      </x:c>
      <x:c r="C8" s="51" t="s">
        <x:v>721</x:v>
      </x:c>
      <x:c r="D8" s="51" t="s">
        <x:v>722</x:v>
      </x:c>
      <x:c r="E8" s="51" t="s">
        <x:v>723</x:v>
      </x:c>
      <x:c r="F8" s="51" t="s">
        <x:v>724</x:v>
      </x:c>
      <x:c r="G8" s="51" t="s">
        <x:v>725</x:v>
      </x:c>
    </x:row>
    <x:row r="9" ht="40.5">
      <x:c r="A9" s="54" t="s">
        <x:v>726</x:v>
      </x:c>
      <x:c r="B9" s="51" t="s">
        <x:v>727</x:v>
      </x:c>
      <x:c r="C9" s="51" t="s">
        <x:v>728</x:v>
      </x:c>
      <x:c r="D9" s="51" t="s">
        <x:v>729</x:v>
      </x:c>
      <x:c r="E9" s="51" t="s">
        <x:v>730</x:v>
      </x:c>
      <x:c r="F9" s="51" t="s">
        <x:v>731</x:v>
      </x:c>
      <x:c r="G9" s="51" t="s">
        <x:v>732</x:v>
      </x:c>
    </x:row>
    <x:row r="10" ht="54">
      <x:c r="A10" s="55" t="s">
        <x:v>733</x:v>
      </x:c>
      <x:c r="B10" s="45" t="s">
        <x:v>734</x:v>
      </x:c>
      <x:c r="C10" s="45" t="str">
        <x:v>Deployed and verified</x:v>
      </x:c>
      <x:c r="D10" s="45" t="str">
        <x:v>dental-backend/index.js; phase3RouteParity.test.js; AWS basic 1.0.2 sequence 4</x:v>
      </x:c>
      <x:c r="E10" s="45" t="str">
        <x:v>Six canonical routes, patient/doctor CRUD, separate reject routes, normalized envelopes</x:v>
      </x:c>
      <x:c r="F10" s="45" t="str">
        <x:v>7/7 route tests and 13/13 AWS smoke checks pass</x:v>
      </x:c>
      <x:c r="G10" s="45" t="str">
        <x:v>Complete</x:v>
      </x:c>
    </x:row>
  </x:sheetData>
  <x:pageMargins left="0.7" right="0.7" top="0.75" bottom="0.75" header="0.3" footer="0.3"/>
</x:worksheet>
</file>