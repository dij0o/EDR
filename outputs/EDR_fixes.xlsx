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dc592cfebe4f97" /></Relationships>
</file>

<file path=xl/workbook.xml><?xml version="1.0" encoding="utf-8"?>
<x:workbook xmlns:x="http://schemas.openxmlformats.org/spreadsheetml/2006/main">
  <x:sheets>
    <x:sheet xmlns:r="http://schemas.openxmlformats.org/officeDocument/2006/relationships" name="Overview" sheetId="1" r:id="R57fcc9bc1a6143fd"/>
    <x:sheet xmlns:r="http://schemas.openxmlformats.org/officeDocument/2006/relationships" name="Changes" sheetId="2" r:id="Rb675cb7d1b894c3b"/>
    <x:sheet xmlns:r="http://schemas.openxmlformats.org/officeDocument/2006/relationships" name="Runtime Artifacts" sheetId="3" r:id="R1c778fc55a27417d"/>
    <x:sheet xmlns:r="http://schemas.openxmlformats.org/officeDocument/2006/relationships" name="Verification" sheetId="4" r:id="R5626caceeba54ecf"/>
    <x:sheet xmlns:r="http://schemas.openxmlformats.org/officeDocument/2006/relationships" name="Known Items" sheetId="5" r:id="Rd7ebbc95f38f420f"/>
    <x:sheet xmlns:r="http://schemas.openxmlformats.org/officeDocument/2006/relationships" name="Deployment Migrations" sheetId="6" r:id="Rc72eb295d1fa4a77"/>
    <x:sheet xmlns:r="http://schemas.openxmlformats.org/officeDocument/2006/relationships" name="SRS Gap Mapping" sheetId="7" r:id="R4c0c932904c14e4b"/>
    <x:sheet xmlns:r="http://schemas.openxmlformats.org/officeDocument/2006/relationships" name="Classification Summary" sheetId="8" r:id="Rb20fb3ec8a8d4f01"/>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<x:sst xmlns:x="http://schemas.openxmlformats.org/spreadsheetml/2006/main">
  <x:si>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</x:si>
  <x:si>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</x:si>
  <x:si>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</x:si>
  <x:si>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Codex</x:t>
  </x:si>
  <x:si>
    <x:t xml:space="preserve">Date</x:t>
  </x:si>
  <x:si>
    <x:t xml:space="preserve">Workspace</x:t>
  </x:si>
  <x:si>
    <x:t xml:space="preserve">C:\Workbench\EDR_Source</x:t>
  </x:si>
  <x:si>
    <x:t xml:space="preserve">Scope: changes were applied in Source_Code_Remediation; the original Source_Code snapshot was the untouched baseline. Line numbers refer to the updated files. Generated artifacts (node_modules, dist, wallets, logs, screenshots) are tracked separately on the Runtime Artifacts tab.</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</x:si>
  <x:si>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</x:si>
  <x:si>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</x:si>
  <x:si>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</x:si>
  <x:si>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</x:si>
  <x:si>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</x:si>
  <x:si>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</x:si>
  <x:si>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</x:si>
  <x:si>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Fabric Identity</x:t>
  </x:si>
  <x:si>
    <x:t xml:space="preserve">Fabric / Chaincode</x:t>
  </x:si>
  <x:si>
    <x:t xml:space="preserve">Tests / Deployment</x:t>
  </x:si>
  <x:si>
    <x:t xml:space="preserve">Database</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</x:si>
  <x:si>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</x:si>
  <x:si>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</x:si>
  <x:si>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</x:si>
  <x:si>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</x:si>
  <x:si>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</x:si>
  <x:si>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</x:si>
  <x:si>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</x:si>
  <x:si>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</x:si>
  <x:si>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</x:si>
  <x:si>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</x:si>
  <x:si>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</x:si>
  <x:si>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Work Type</x:t>
  </x:si>
  <x:si>
    <x:t xml:space="preserve">Remediation Phase</x:t>
  </x:si>
  <x:si>
    <x:t xml:space="preserve">SRS Requirement / Scope</x:t>
  </x:si>
  <x:si>
    <x:t xml:space="preserve">Classification Basis</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</x:si>
  <x:si>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</x:si>
  <x:si>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</x:si>
  <x:si>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</x:si>
  <x:si>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</x:si>
  <x:si>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</x:si>
  <x:si>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</x:si>
  <x:si>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Bug Fix</x:t>
  </x:si>
  <x:si>
    <x:t xml:space="preserve">Baseline Stabilization</x:t>
  </x:si>
  <x:si>
    <x:t xml:space="preserve">Supporting NFR reliability/usability; no net-new FR</x:t>
  </x:si>
  <x:si>
    <x:t xml:space="preserve">Existing behavior/configuration was present but defective, unsafe, inconsistent, or non-operational; the change restores intended behavior.</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</x:si>
  <x:si>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</x:si>
  <x:si>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</x:si>
  <x:si>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</x:si>
  <x:si>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</x:si>
  <x:si>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</x:si>
  <x:si>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</x:si>
  <x:si>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</x:si>
  <x:si>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</x:si>
  <x:si>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</x:si>
  <x:si>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</x:si>
  <x:si>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</x:si>
  <x:si>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</x:si>
  <x:si>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</x:si>
  <x:si>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</x:si>
  <x:si>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</x:si>
  <x:si>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</x:si>
  <x:si>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</x:si>
  <x:si>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</x:si>
  <x:si>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</x:si>
  <x:si>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</x:si>
  <x:si>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</x:si>
  <x:si>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Mixed Remediation</x:t>
  </x:si>
  <x:si>
    <x:t xml:space="preserve">Supporting SRS integration and operability</x:t>
  </x:si>
  <x:si>
    <x:t xml:space="preserve">The change repairs an existing broken path and also extends it to participate in the SRS-compliant workflow.</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</x:si>
  <x:si>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</x:si>
  <x:si>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</x:si>
  <x:si>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</x:si>
  <x:si>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</x:si>
  <x:si>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</x:si>
  <x:si>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</x:si>
  <x:si>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</x:si>
  <x:si>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</x:si>
  <x:si>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</x:si>
  <x:si>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</x:si>
  <x:si>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</x:si>
  <x:si>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</x:si>
  <x:si>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</x:si>
  <x:si>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</x:si>
  <x:si>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</x:si>
  <x:si>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SRS Gap Development</x:t>
  </x:si>
  <x:si>
    <x:t xml:space="preserve">FR-05; FR-06</x:t>
  </x:si>
  <x:si>
    <x:t xml:space="preserve">The baseline lacked a required SRS capability or security control; the change adds new product behavior or enforcement.</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</x:si>
  <x:si>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</x:si>
  <x:si>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</x:si>
  <x:si>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</x:si>
  <x:si>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</x:si>
  <x:si>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</x:si>
  <x:si>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FR-11</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</x:si>
  <x:si>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</x:si>
  <x:si>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</x:si>
  <x:si>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</x:si>
  <x:si>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</x:si>
  <x:si>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</x:si>
  <x:si>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FR-09; FR-13</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</x:si>
  <x:si>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</x:si>
  <x:si>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</x:si>
  <x:si>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</x:si>
  <x:si>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</x:si>
  <x:si>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</x:si>
  <x:si>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</x:si>
  <x:si>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</x:si>
  <x:si>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</x:si>
  <x:si>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</x:si>
  <x:si>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</x:si>
  <x:si>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</x:si>
  <x:si>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</x:si>
  <x:si>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</x:si>
  <x:si>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</x:si>
  <x:si>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</x:si>
  <x:si>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</x:si>
  <x:si>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</x:si>
  <x:si>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</x:si>
  <x:si>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</x:si>
  <x:si>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</x:si>
  <x:si>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</x:si>
  <x:si>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</x:si>
  <x:si>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</x:si>
  <x:si>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</x:si>
  <x:si>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</x:si>
  <x:si>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FR-27</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</x:si>
  <x:si>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</x:si>
  <x:si>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</x:si>
  <x:si>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</x:si>
  <x:si>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</x:si>
  <x:si>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</x:si>
  <x:si>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</x:si>
  <x:si>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</x:si>
  <x:si>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</x:si>
  <x:si>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</x:si>
  <x:si>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</x:si>
  <x:si>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</x:si>
  <x:si>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</x:si>
  <x:si>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</x:si>
  <x:si>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</x:si>
  <x:si>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</x:si>
  <x:si>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</x:si>
  <x:si>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</x:si>
  <x:si>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</x:si>
  <x:si>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</x:si>
  <x:si>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</x:si>
  <x:si>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</x:si>
  <x:si>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</x:si>
  <x:si>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</x:si>
  <x:si>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</x:si>
  <x:si>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</x:si>
  <x:si>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</x:si>
  <x:si>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</x:si>
  <x:si>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</x:si>
  <x:si>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</x:si>
  <x:si>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</x:si>
  <x:si>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</x:si>
  <x:si>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</x:si>
  <x:si>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</x:si>
  <x:si>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</x:si>
  <x:si>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</x:si>
  <x:si>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</x:si>
  <x:si>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</x:si>
  <x:si>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FR-08</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</x:si>
  <x:si>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</x:si>
  <x:si>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</x:si>
  <x:si>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</x:si>
  <x:si>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</x:si>
  <x:si>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</x:si>
  <x:si>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</x:si>
  <x:si>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</x:si>
  <x:si>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</x:si>
  <x:si>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</x:si>
  <x:si>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</x:si>
  <x:si>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</x:si>
  <x:si>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</x:si>
  <x:si>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FR-22</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</x:si>
  <x:si>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</x:si>
  <x:si>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</x:si>
  <x:si>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</x:si>
  <x:si>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</x:si>
  <x:si>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</x:si>
  <x:si>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</x:si>
  <x:si>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FR-21</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</x:si>
  <x:si>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</x:si>
  <x:si>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</x:si>
  <x:si>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</x:si>
  <x:si>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</x:si>
  <x:si>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</x:si>
  <x:si>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</x:si>
  <x:si>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</x:si>
  <x:si>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</x:si>
  <x:si>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</x:si>
  <x:si>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</x:si>
  <x:si>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</x:si>
  <x:si>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</x:si>
  <x:si>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</x:si>
  <x:si>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</x:si>
  <x:si>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</x:si>
  <x:si>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</x:si>
  <x:si>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</x:si>
  <x:si>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FR-05</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</x:si>
  <x:si>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</x:si>
  <x:si>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</x:si>
  <x:si>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</x:si>
  <x:si>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</x:si>
  <x:si>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</x:si>
  <x:si>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</x:si>
  <x:si>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FR-03</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</x:si>
  <x:si>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</x:si>
  <x:si>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</x:si>
  <x:si>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</x:si>
  <x:si>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</x:si>
  <x:si>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</x:si>
  <x:si>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</x:si>
  <x:si>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</x:si>
  <x:si>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</x:si>
  <x:si>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</x:si>
  <x:si>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</x:si>
  <x:si>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</x:si>
  <x:si>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</x:si>
  <x:si>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</x:si>
  <x:si>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</x:si>
  <x:si>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</x:si>
  <x:si>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</x:si>
  <x:si>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</x:si>
  <x:si>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</x:si>
  <x:si>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</x:si>
  <x:si>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</x:si>
  <x:si>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</x:si>
  <x:si>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</x:si>
  <x:si>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</x:si>
  <x:si>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</x:si>
  <x:si>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</x:si>
  <x:si>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</x:si>
  <x:si>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</x:si>
  <x:si>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</x:si>
  <x:si>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</x:si>
  <x:si>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</x:si>
  <x:si>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</x:si>
  <x:si>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</x:si>
  <x:si>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</x:si>
  <x:si>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</x:si>
  <x:si>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</x:si>
  <x:si>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</x:si>
  <x:si>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</x:si>
  <x:si>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</x:si>
  <x:si>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</x:si>
  <x:si>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</x:si>
  <x:si>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</x:si>
  <x:si>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</x:si>
  <x:si>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</x:si>
  <x:si>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</x:si>
  <x:si>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</x:si>
  <x:si>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</x:si>
  <x:si>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</x:si>
  <x:si>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</x:si>
  <x:si>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</x:si>
  <x:si>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</x:si>
  <x:si>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</x:si>
  <x:si>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</x:si>
  <x:si>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</x:si>
  <x:si>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</x:si>
  <x:si>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</x:si>
  <x:si>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</x:si>
  <x:si>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</x:si>
  <x:si>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</x:si>
  <x:si>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</x:si>
  <x:si>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</x:si>
  <x:si>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</x:si>
  <x:si>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</x:si>
  <x:si>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</x:si>
  <x:si>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</x:si>
  <x:si>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</x:si>
  <x:si>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</x:si>
  <x:si>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</x:si>
  <x:si>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</x:si>
  <x:si>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</x:si>
  <x:si>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</x:si>
  <x:si>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</x:si>
  <x:si>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</x:si>
  <x:si>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</x:si>
  <x:si>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</x:si>
  <x:si>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</x:si>
  <x:si>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</x:si>
  <x:si>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</x:si>
  <x:si>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</x:si>
  <x:si>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</x:si>
  <x:si>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</x:si>
  <x:si>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</x:si>
  <x:si>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</x:si>
  <x:si>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</x:si>
  <x:si>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</x:si>
  <x:si>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</x:si>
  <x:si>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</x:si>
  <x:si>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</x:si>
  <x:si>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</x:si>
  <x:si>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</x:si>
  <x:si>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</x:si>
  <x:si>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</x:si>
  <x:si>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</x:si>
  <x:si>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</x:si>
  <x:si>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</x:si>
  <x:si>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</x:si>
  <x:si>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</x:si>
  <x:si>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</x:si>
  <x:si>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</x:si>
  <x:si>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</x:si>
  <x:si>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</x:si>
  <x:si>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</x:si>
  <x:si>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</x:si>
  <x:si>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</x:si>
  <x:si>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</x:si>
  <x:si>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</x:si>
  <x:si>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</x:si>
  <x:si>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</x:si>
  <x:si>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</x:si>
  <x:si>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</x:si>
  <x:si>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</x:si>
  <x:si>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</x:si>
  <x:si>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</x:si>
  <x:si>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</x:si>
  <x:si>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</x:si>
  <x:si>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</x:si>
  <x:si>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</x:si>
  <x:si>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</x:si>
  <x:si>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</x:si>
  <x:si>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</x:si>
  <x:si>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</x:si>
  <x:si>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</x:si>
  <x:si>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</x:si>
  <x:si>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</x:si>
  <x:si>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</x:si>
  <x:si>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</x:si>
  <x:si>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</x:si>
  <x:si>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</x:si>
  <x:si>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</x:si>
  <x:si>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</x:si>
  <x:si>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</x:si>
  <x:si>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</x:si>
  <x:si>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</x:si>
  <x:si>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</x:si>
  <x:si>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</x:si>
  <x:si>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</x:si>
  <x:si>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</x:si>
  <x:si>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</x:si>
  <x:si>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</x:si>
  <x:si>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</x:si>
  <x:si>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</x:si>
  <x:si>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</x:si>
  <x:si>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</x:si>
  <x:si>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</x:si>
  <x:si>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</x:si>
  <x:si>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</x:si>
  <x:si>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</x:si>
  <x:si>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</x:si>
  <x:si>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</x:si>
  <x:si>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</x:si>
  <x:si>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</x:si>
  <x:si>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</x:si>
  <x:si>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</x:si>
  <x:si>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</x:si>
  <x:si>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</x:si>
  <x:si>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</x:si>
  <x:si>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</x:si>
  <x:si>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</x:si>
  <x:si>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</x:si>
  <x:si>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</x:si>
  <x:si>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</x:si>
  <x:si>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</x:si>
  <x:si>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</x:si>
  <x:si>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</x:si>
  <x:si>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</x:si>
  <x:si>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</x:si>
  <x:si>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Supporting Evidence / Deployment</x:t>
  </x:si>
  <x:si>
    <x:t xml:space="preserve">This entry supplies tests, documentation, migration, or deployment evidence and does not independently add end-user behavior.</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</x:si>
  <x:si>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</x:si>
  <x:si>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</x:si>
  <x:si>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</x:si>
  <x:si>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</x:si>
  <x:si>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</x:si>
  <x:si>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</x:si>
  <x:si>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</x:si>
  <x:si>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</x:si>
  <x:si>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</x:si>
  <x:si>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</x:si>
  <x:si>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</x:si>
  <x:si>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</x:si>
  <x:si>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</x:si>
  <x:si>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</x:si>
  <x:si>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</x:si>
  <x:si>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</x:si>
  <x:si>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</x:si>
  <x:si>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</x:si>
  <x:si>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</x:si>
  <x:si>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</x:si>
  <x:si>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</x:si>
  <x:si>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</x:si>
  <x:si>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</x:si>
  <x:si>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</x:si>
  <x:si>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</x:si>
  <x:si>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</x:si>
  <x:si>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</x:si>
  <x:si>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</x:si>
  <x:si>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</x:si>
  <x:si>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</x:si>
  <x:si>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C-35</x:t>
  </x:si>
  <x:si>
    <x:t xml:space="preserve">11-25, 136-149, 328-603, 676-682</x:t>
  </x:si>
  <x:si>
    <x:t xml:space="preserve">JWT expiry was hardcoded, token claims omitted organization context, and most Database API business routes were public.</x:t>
  </x:si>
  <x:si>
    <x:t xml:space="preserve">Added JWT_EXPIRES_IN, normalized role helpers, richer JWT claims, role middleware, protected Database API routes, auth forwarding for patient sync, and removed password hashes from /users output.</x:t>
  </x:si>
  <x:si>
    <x:t xml:space="preserve">Starts SRS Phase 1 API-layer auth/RBAC coverage for Database API routes.</x:t>
  </x:si>
  <x:si>
    <x:t xml:space="preserve">Phase 1 — API Authentication</x:t>
  </x:si>
  <x:si>
    <x:t xml:space="preserve">SEC-01; SEC-06; FR-01 to FR-04</x:t>
  </x:si>
  <x:si>
    <x:t xml:space="preserve">C-36</x:t>
  </x:si>
  <x:si>
    <x:t xml:space="preserve">9, 36-162, 225-679</x:t>
  </x:si>
  <x:si>
    <x:t xml:space="preserve">Blockchain API routes trusted request body IDs and did not validate JWTs or roles.</x:t>
  </x:si>
  <x:si>
    <x:t xml:space="preserve">Added JWT validation, normalized role middleware, admin clinic-claim checks, doctor self checks, and route-level Admin/Doctor/Patient/System permissions.</x:t>
  </x:si>
  <x:si>
    <x:t xml:space="preserve">Prevents unauthenticated calls and obvious role/body impersonation at the Blockchain API boundary.</x:t>
  </x:si>
  <x:si>
    <x:t xml:space="preserve">C-37</x:t>
  </x:si>
  <x:si>
    <x:t xml:space="preserve">bc-dentistry-frontend/src/assets/config/api.js and protected web call sites</x:t>
  </x:si>
  <x:si>
    <x:t xml:space="preserve">26-36; multiple imports/calls</x:t>
  </x:si>
  <x:si>
    <x:t xml:space="preserve">Web protected calls used only API base URL helpers and did not attach JWT headers.</x:t>
  </x:si>
  <x:si>
    <x:t xml:space="preserve">Added authHeaders()/jsonHeaders() and applied them to patient, request, approval, add-patient, appointment, and lab-result calls.</x:t>
  </x:si>
  <x:si>
    <x:t xml:space="preserve">Lets the web app continue to use protected Database/Blockchain API routes after server-side auth enforcement.</x:t>
  </x:si>
  <x:si>
    <x:t xml:space="preserve">C-38</x:t>
  </x:si>
  <x:si>
    <x:t xml:space="preserve">BC-Dentistry-Mobile-App/Context/UserContext.jsx, BC-Dentistry-Mobile-App/utils/api.js, mobile request/consent screens</x:t>
  </x:si>
  <x:si>
    <x:t xml:space="preserve">multiple</x:t>
  </x:si>
  <x:si>
    <x:t xml:space="preserve">Mobile sign-in matched email against /getAllPatients, used hardcoded API constants, and request/consent screens called protected routes as Patient1 without auth.</x:t>
  </x:si>
  <x:si>
    <x:t xml:space="preserve">Added mobile API helper, token context, real /login sign-in, JWT headers on protected calls, and patient identity helper usage instead of hardcoded request IDs.</x:t>
  </x:si>
  <x:si>
    <x:t xml:space="preserve">Removes the mobile local-auth bypass and aligns protected mobile calls with SRS JWT authentication.</x:t>
  </x:si>
  <x:si>
    <x:t xml:space="preserve">C-39</x:t>
  </x:si>
  <x:si>
    <x:t xml:space="preserve">BC-Dentistry-Mobile-App/app/documents.jsx</x:t>
  </x:si>
  <x:si>
    <x:t xml:space="preserve">27</x:t>
  </x:si>
  <x:si>
    <x:t xml:space="preserve">Documents screen used an un-awaited request and a filter callback that never returned a value.</x:t>
  </x:si>
  <x:si>
    <x:t xml:space="preserve">Awaits the authenticated request and returns data.documents from the filter callback.</x:t>
  </x:si>
  <x:si>
    <x:t xml:space="preserve">Fixes a touched mobile screen bug while moving it to JWT-authenticated calls.</x:t>
  </x:si>
  <x:si>
    <x:t xml:space="preserve">Supporting usability; SEC-01</x:t>
  </x:si>
  <x:si>
    <x:t xml:space="preserve">CFG-13</x:t>
  </x:si>
  <x:si>
    <x:t xml:space="preserve">dental-backend/package.json, dental-backend/package-lock.json</x:t>
  </x:si>
  <x:si>
    <x:t xml:space="preserve">dependency entries</x:t>
  </x:si>
  <x:si>
    <x:t xml:space="preserve">Blockchain API did not declare jsonwebtoken.</x:t>
  </x:si>
  <x:si>
    <x:t xml:space="preserve">Adds jsonwebtoken ^9.0.2 and matching lockfile entries.</x:t>
  </x:si>
  <x:si>
    <x:t xml:space="preserve">Makes JWT validation dependency explicit and reproducible for Blockchain API installs/builds.</x:t>
  </x:si>
  <x:si>
    <x:t xml:space="preserve">DOC-08</x:t>
  </x:si>
  <x:si>
    <x:t xml:space="preserve">Outputs/SRS_Compliance_Base/*.md; Outputs/EDR_Remediation_Change_Log.md</x:t>
  </x:si>
  <x:si>
    <x:t xml:space="preserve">SRS baseline documents still described the pre-Phase-1 unauthenticated state.</x:t>
  </x:si>
  <x:si>
    <x:t xml:space="preserve">Updated the roadmap, traceability matrix, checklist, startup context, README summary, and change log with the Phase 1 auth checkpoint and remaining blockers.</x:t>
  </x:si>
  <x:si>
    <x:t xml:space="preserve">Keeps future threads aligned on what was completed and what still needs patient ID mapping, MSP/certificate binding, and bootstrap registration decisions.</x:t>
  </x:si>
  <x:si>
    <x:t xml:space="preserve">C-40</x:t>
  </x:si>
  <x:si>
    <x:t xml:space="preserve">103-108, 363-405</x:t>
  </x:si>
  <x:si>
    <x:t xml:space="preserve">Database API login only returned doctor Blockchain_ID values, and /syncOnChainPatients skipped existing patients without linking their on-chain patientID.</x:t>
  </x:si>
  <x:si>
    <x:t xml:space="preserve">Login now joins Patient and returns Patient.Blockchain_ID; patient sync now matches by Emirates_ID or Blockchain_ID, links existing rows, and inserts new rows with Blockchain_ID.</x:t>
  </x:si>
  <x:si>
    <x:t xml:space="preserve">Closes the patient login identity gap needed for mobile owner-only request and consent workflows.</x:t>
  </x:si>
  <x:si>
    <x:t xml:space="preserve">C-41</x:t>
  </x:si>
  <x:si>
    <x:t xml:space="preserve">162-197, 609-715</x:t>
  </x:si>
  <x:si>
    <x:t xml:space="preserve">Patient routes required the Patient role but still trusted patientID from params/body.</x:t>
  </x:si>
  <x:si>
    <x:t xml:space="preserve">Added patient self-check middleware and applied it to pending, processed, all-requests, provide-consent, and reject-request routes.</x:t>
  </x:si>
  <x:si>
    <x:t xml:space="preserve">Prevents a patient JWT from reading or changing another patient's request/consent state by changing the request ID.</x:t>
  </x:si>
  <x:si>
    <x:t xml:space="preserve">C-42</x:t>
  </x:si>
  <x:si>
    <x:t xml:space="preserve">BC-Dentistry-Mobile-App/utils/api.js</x:t>
  </x:si>
  <x:si>
    <x:t xml:space="preserve">23-25</x:t>
  </x:si>
  <x:si>
    <x:t xml:space="preserve">Mobile patient identity helper accepted fallback patientID/patientId/PatientID fields from local user objects.</x:t>
  </x:si>
  <x:si>
    <x:t xml:space="preserve">Helper now uses only the authenticated login response blockchainID.</x:t>
  </x:si>
  <x:si>
    <x:t xml:space="preserve">Avoids accidental fallback to stale or client-supplied patient IDs after the Database API now returns the durable patient chain ID.</x:t>
  </x:si>
  <x:si>
    <x:t xml:space="preserve">CFG-14</x:t>
  </x:si>
  <x:si>
    <x:t xml:space="preserve">database/dump.sql; off_chain_database/datamodel.sql; off_chain_database/datamodel2.sql; database/migrations/2026-07-10-add-patient-blockchain-id.sql</x:t>
  </x:si>
  <x:si>
    <x:t xml:space="preserve">Patient schema sections</x:t>
  </x:si>
  <x:si>
    <x:t xml:space="preserve">Patient tables lacked a column that ties a database user row to the ledger patient key.</x:t>
  </x:si>
  <x:si>
    <x:t xml:space="preserve">Added unique Patient.Blockchain_ID to seed schemas/dump, mapped known seed patients to Patient1-Patient3, and added a migration for existing live databases.</x:t>
  </x:si>
  <x:si>
    <x:t xml:space="preserve">Provides the off-chain source of truth for authenticated patient-to-ledger identity mapping.</x:t>
  </x:si>
  <x:si>
    <x:t xml:space="preserve">DOC-09</x:t>
  </x:si>
  <x:si>
    <x:t xml:space="preserve">Outputs/SRS_Compliance_Base/*.md</x:t>
  </x:si>
  <x:si>
    <x:t xml:space="preserve">Baseline docs still listed patient blockchain identity mapping as an unresolved source-level gap.</x:t>
  </x:si>
  <x:si>
    <x:t xml:space="preserve">Updated README, roadmap, traceability matrix, checklist, and startup context with the completed patient mapping checkpoint and remaining migration/test caveat.</x:t>
  </x:si>
  <x:si>
    <x:t xml:space="preserve">Keeps future remediation threads aligned on the next work: migration deployment, tests, bootstrap decision, and chaincode MSP/RBAC.</x:t>
  </x:si>
  <x:si>
    <x:t xml:space="preserve">C-43</x:t>
  </x:si>
  <x:si>
    <x:t xml:space="preserve">5, 13, 51-53, 333-407, 499</x:t>
  </x:si>
  <x:si>
    <x:t xml:space="preserve">POST /register was public and could create organization admins without an authenticated caller.</x:t>
  </x:si>
  <x:si>
    <x:t xml:space="preserve">Added ADMIN_BOOTSTRAP_TOKEN support, constant-time bootstrap token comparison, Admin/System JWT authorization, and applied authorizeAdminRegistration to /register.</x:t>
  </x:si>
  <x:si>
    <x:t xml:space="preserve">Closes the remaining Phase 1 public admin-registration gap while preserving controlled AWS bootstrap.</x:t>
  </x:si>
  <x:si>
    <x:t xml:space="preserve">C-44</x:t>
  </x:si>
  <x:si>
    <x:t xml:space="preserve">6, 41-50</x:t>
  </x:si>
  <x:si>
    <x:t xml:space="preserve">Signup posted to /register without authorization headers.</x:t>
  </x:si>
  <x:si>
    <x:t xml:space="preserve">Signup now uses jsonHeaders() so an authenticated Admin/System token is sent when present.</x:t>
  </x:si>
  <x:si>
    <x:t xml:space="preserve">Keeps the web onboarding form compatible with the protected /register route.</x:t>
  </x:si>
  <x:si>
    <x:t xml:space="preserve">CFG-15</x:t>
  </x:si>
  <x:si>
    <x:t xml:space="preserve">backend/.env.example; README.md</x:t>
  </x:si>
  <x:si>
    <x:t xml:space="preserve">auth env sections</x:t>
  </x:si>
  <x:si>
    <x:t xml:space="preserve">Database API config did not document JWT_EXPIRES_IN or the deployment bootstrap token required for protected admin registration.</x:t>
  </x:si>
  <x:si>
    <x:t xml:space="preserve">Added JWT_EXPIRES_IN and ADMIN_BOOTSTRAP_TOKEN placeholders to Database API env documentation.</x:t>
  </x:si>
  <x:si>
    <x:t xml:space="preserve">Makes the required AWS VM environment changes explicit before restarting services.</x:t>
  </x:si>
  <x:si>
    <x:t xml:space="preserve">DOC-10</x:t>
  </x:si>
  <x:si>
    <x:t xml:space="preserve">Outputs/SRS_Compliance_Base/Phase1_AWS_Deployment_Runbook.md; Outputs/SRS_Compliance_Base/*.md</x:t>
  </x:si>
  <x:si>
    <x:t xml:space="preserve">Phase 1 deployment-only migration/env/smoke-test work was spread across notes and not tracked as an AWS rollout gate.</x:t>
  </x:si>
  <x:si>
    <x:t xml:space="preserve">Added the Phase 1 AWS deployment runbook and updated baseline docs to mark source-level Phase 1 complete pending VM migration/smoke tests.</x:t>
  </x:si>
  <x:si>
    <x:t xml:space="preserve">Gives every future thread a concrete migration and smoke-test checklist before moving to Phase 2.</x:t>
  </x:si>
  <x:si>
    <x:t xml:space="preserve">P2-04</x:t>
  </x:si>
  <x:si>
    <x:t xml:space="preserve">chaincode tests; dental-backend tests; AWS Fabric basic 1.0.1 sequence 3</x:t>
  </x:si>
  <x:si>
    <x:t xml:space="preserve">Phase 2 verification</x:t>
  </x:si>
  <x:si>
    <x:t xml:space="preserve">No deployed evidence tied role-bound certificates to live chaincode enforcement.</x:t>
  </x:si>
  <x:si>
    <x:t xml:space="preserve">Added 16 unit tests, 4 JWT-to-wallet resolver tests, 9 live gateway identity checks, and deployed chaincode sequence 3 with both MSP approvals.</x:t>
  </x:si>
  <x:si>
    <x:t xml:space="preserve">Provides repeatable Phase 2 security evidence and confirms deployment behavior.</x:t>
  </x:si>
  <x:si>
    <x:t xml:space="preserve">Phase 2 — Fabric Identity</x:t>
  </x:si>
  <x:si>
    <x:t xml:space="preserve">SEC-02; SEC-06; SEC-08; identity-bound FRs</x:t>
  </x:si>
  <x:si>
    <x:t xml:space="preserve">P2-03</x:t>
  </x:si>
  <x:si>
    <x:t xml:space="preserve">dental-backend/registerRoleIdentities.js; dental-backend/.env.example</x:t>
  </x:si>
  <x:si>
    <x:t xml:space="preserve">role identity enrollment</x:t>
  </x:si>
  <x:si>
    <x:t xml:space="preserve">The wallet contained only admin and shared appUser identities.</x:t>
  </x:si>
  <x:si>
    <x:t xml:space="preserve">Provisions clinic-bound admin, actor-bound doctor/patient, and system X.509 identities with ecert attributes.</x:t>
  </x:si>
  <x:si>
    <x:t xml:space="preserve">Makes chaincode role, actor, and clinic checks available from certificate claims.</x:t>
  </x:si>
  <x:si>
    <x:t xml:space="preserve">P2-02</x:t>
  </x:si>
  <x:si>
    <x:t xml:space="preserve">dental-backend/index.js; dental-backend/fabricIdentity.js</x:t>
  </x:si>
  <x:si>
    <x:t xml:space="preserve">gateway identity selection</x:t>
  </x:si>
  <x:si>
    <x:t xml:space="preserve">Fabric gateway transactions assumed a shared appUser identity.</x:t>
  </x:si>
  <x:si>
    <x:t xml:space="preserve">Maps verified JWT context to admin-, doctor-, patient-, or system wallet labels and rejects missing identities before connection.</x:t>
  </x:si>
  <x:si>
    <x:t xml:space="preserve">Prevents API users from sharing one Fabric transaction identity.</x:t>
  </x:si>
  <x:si>
    <x:t xml:space="preserve">P2-01</x:t>
  </x:si>
  <x:si>
    <x:t xml:space="preserve">fabric-samples/dental-record-sharing/chaincode-javascript/lib/dentalRecordSharing.js; test/dentallRecordSharing_test.js</x:t>
  </x:si>
  <x:si>
    <x:t xml:space="preserve">31-66; Phase 2 identity tests</x:t>
  </x:si>
  <x:si>
    <x:t xml:space="preserve">Chaincode role checks did not reject an invoking certificate from an untrusted MSP.</x:t>
  </x:si>
  <x:si>
    <x:t xml:space="preserve">Added _requireMsp validation for Org1MSP/Org2MSP before role checks and added an unknown-MSP role-violation test.</x:t>
  </x:si>
  <x:si>
    <x:t xml:space="preserve">Starts Phase 2 SEC-02 MSP enforcement after the AWS Phase 1 deployment gate passed.</x:t>
  </x:si>
  <x:si>
    <x:t xml:space="preserve">C-45</x:t>
  </x:si>
  <x:si>
    <x:t xml:space="preserve">Phase 3 route handlers</x:t>
  </x:si>
  <x:si>
    <x:t xml:space="preserve">SRS Section 5 names were missing or mapped only to legacy routes; patient/doctor CRUD and role-specific rejection routes were not exposed.</x:t>
  </x:si>
  <x:si>
    <x:t xml:space="preserve">Added all six SRS canonical routes, patient update/delete, doctor read/update/delete, separate admin/patient rejection, compatible alias metadata, and normalized canonical response envelopes.</x:t>
  </x:si>
  <x:si>
    <x:t xml:space="preserve">Provides REST gateway parity while preserving existing clients and Phase 2 JWT-to-wallet identity binding.</x:t>
  </x:si>
  <x:si>
    <x:t xml:space="preserve">Phase 3 — API Parity</x:t>
  </x:si>
  <x:si>
    <x:t xml:space="preserve">SRS Section 5; FR-07 to FR-27 as routed</x:t>
  </x:si>
  <x:si>
    <x:t xml:space="preserve">C-46</x:t>
  </x:si>
  <x:si>
    <x:t xml:space="preserve">DeleteDoctor; DeletePatient</x:t>
  </x:si>
  <x:si>
    <x:t xml:space="preserve">Delete transactions required Admin role but did not bind the admin certificate to the stored actor clinic.</x:t>
  </x:si>
  <x:si>
    <x:t xml:space="preserve">Delete transactions now load the stored doctor/patient and enforce _requireAdminClinic against its clinicID before deletion.</x:t>
  </x:si>
  <x:si>
    <x:t xml:space="preserve">Preserves Phase 2 clinic/MSP isolation for the newly exposed delete APIs.</x:t>
  </x:si>
  <x:si>
    <x:t xml:space="preserve">SEC-02; SEC-08; FR-10; FR-14</x:t>
  </x:si>
  <x:si>
    <x:t xml:space="preserve">C-47</x:t>
  </x:si>
  <x:si>
    <x:t xml:space="preserve">backend/server.js; dental-backend/index.js</x:t>
  </x:si>
  <x:si>
    <x:t xml:space="preserve">JWT/role errors and canonical handlers</x:t>
  </x:si>
  <x:si>
    <x:t xml:space="preserve">Authentication, authorization, validation, and Fabric errors used inconsistent flat error strings.</x:t>
  </x:si>
  <x:si>
    <x:t xml:space="preserve">JWT/role failures now use a structured error object; canonical Blockchain API routes use success/data and success/error envelopes.</x:t>
  </x:si>
  <x:si>
    <x:t xml:space="preserve">Makes errors predictable across Database and Blockchain APIs without changing legacy success payloads.</x:t>
  </x:si>
  <x:si>
    <x:t xml:space="preserve">DOC-11</x:t>
  </x:si>
  <x:si>
    <x:t xml:space="preserve">README.md; Outputs/SRS_Compliance_Base/*.md; Outputs/EDR_Remediation_Change_Log.md</x:t>
  </x:si>
  <x:si>
    <x:t xml:space="preserve">Phase 3 status and endpoint map</x:t>
  </x:si>
  <x:si>
    <x:t xml:space="preserve">Phase 3 routes, aliases, roles, deployment requirements, and verification state were not documented.</x:t>
  </x:si>
  <x:si>
    <x:t xml:space="preserve">Documented exact canonical/legacy route mapping, roles, identity enforcement, source checks, no-DB-migration decision, and pending AWS rollout.</x:t>
  </x:si>
  <x:si>
    <x:t xml:space="preserve">Keeps roadmap, traceability, acceptance, startup context, and setup documentation synchronized.</x:t>
  </x:si>
  <x:si>
    <x:t xml:space="preserve">C-91</x:t>
  </x:si>
  <x:si>
    <x:t xml:space="preserve">Phase 4 patient management</x:t>
  </x:si>
  <x:si>
    <x:t xml:space="preserve">Patient data was primarily read from Fabric and CRUD was incomplete.</x:t>
  </x:si>
  <x:si>
    <x:t xml:space="preserve">Added JWT/admin/clinic-bound hybrid create, list, owner/admin read, update, assignment, and coordinated delete routes with validation, UUID IDs, transactions and SHA-256.</x:t>
  </x:si>
  <x:si>
    <x:t xml:space="preserve">Completes FR-05 to FR-10 while keeping PII off-chain.</x:t>
  </x:si>
  <x:si>
    <x:t xml:space="preserve">Phase 4 — Patient Management</x:t>
  </x:si>
  <x:si>
    <x:t xml:space="preserve">FR-05 to FR-10; SEC-03</x:t>
  </x:si>
  <x:si>
    <x:t xml:space="preserve">C-92</x:t>
  </x:si>
  <x:si>
    <x:t xml:space="preserve">database/dump.sql; database/migrations/2026-07-11-phase4-patient-management.sql</x:t>
  </x:si>
  <x:si>
    <x:t xml:space="preserve">Patient table Phase 4 fields</x:t>
  </x:si>
  <x:si>
    <x:t xml:space="preserve">Patient table held DOB, gender, Emirates ID and blockchain mapping only.</x:t>
  </x:si>
  <x:si>
    <x:t xml:space="preserve">Added nationality, address, blood type, JSON medical history/allergies/medications/insurance/doctors, clinic, modified date, uniqueness and clinic index/FK.</x:t>
  </x:si>
  <x:si>
    <x:t xml:space="preserve">Makes MySQL authoritative for detailed patient PII and clinical/admin data.</x:t>
  </x:si>
  <x:si>
    <x:t xml:space="preserve">C-93</x:t>
  </x:si>
  <x:si>
    <x:t xml:space="preserve">AddPatientMetadata; UpdatePatientMetadata</x:t>
  </x:si>
  <x:si>
    <x:t xml:space="preserve">Patient transactions stored names, Emirates ID, email, contact and address on-chain.</x:t>
  </x:si>
  <x:si>
    <x:t xml:space="preserve">Added metadata-only transactions storing IDs, clinic/doctors, opaque MySQL reference, SHA-256 hash, timestamps and storage policy.</x:t>
  </x:si>
  <x:si>
    <x:t xml:space="preserve">Aligns new patient writes with SEC-03; historical ledger PII cleanup remains a deployment gate.</x:t>
  </x:si>
  <x:si>
    <x:t xml:space="preserve">SEC-03; FR-05 to FR-10</x:t>
  </x:si>
  <x:si>
    <x:t xml:space="preserve">C-94</x:t>
  </x:si>
  <x:si>
    <x:t xml:space="preserve">/patient-metadata routes</x:t>
  </x:si>
  <x:si>
    <x:t xml:space="preserve">No metadata-only patient gateway routes existed.</x:t>
  </x:si>
  <x:si>
    <x:t xml:space="preserve">Added JWT admin-only, clinic-bound create/update/delete metadata routes mapped to Fabric identities.</x:t>
  </x:si>
  <x:si>
    <x:t xml:space="preserve">Preserves Phase 1 JWT and Phase 2 MSP/RBAC binding.</x:t>
  </x:si>
  <x:si>
    <x:t xml:space="preserve">C-95</x:t>
  </x:si>
  <x:si>
    <x:t xml:space="preserve">bc-dentistry-frontend/src/assets/components/Patients; assets/Pages/Patients.jsx</x:t>
  </x:si>
  <x:si>
    <x:t xml:space="preserve">Phase 4 patient UI</x:t>
  </x:si>
  <x:si>
    <x:t xml:space="preserve">Add form omitted functioning medical/insurance fields and had no update/assign/delete workflow.</x:t>
  </x:si>
  <x:si>
    <x:t xml:space="preserve">Added complete SRS add form, MySQL list integration, update and assignment actions, and confirmed delete with surfaced errors.</x:t>
  </x:si>
  <x:si>
    <x:t xml:space="preserve">Completes admin patient-management workflow.</x:t>
  </x:si>
  <x:si>
    <x:t xml:space="preserve">C-96</x:t>
  </x:si>
  <x:si>
    <x:t xml:space="preserve">dental-backend/test/phase4PatientManagement.test.js</x:t>
  </x:si>
  <x:si>
    <x:t xml:space="preserve">3 tests</x:t>
  </x:si>
  <x:si>
    <x:t xml:space="preserve">No Phase 4 source assertions.</x:t>
  </x:si>
  <x:si>
    <x:t xml:space="preserve">Added route, hybrid-storage and authorization assertions; 10 total Phase 2-4 tests pass.</x:t>
  </x:si>
  <x:si>
    <x:t xml:space="preserve">Protects API coverage and SEC-03 design.</x:t>
  </x:si>
  <x:si>
    <x:t xml:space="preserve">P5-01</x:t>
  </x:si>
  <x:si>
    <x:t xml:space="preserve">database/dump.sql; database/migrations/2026-07-12-phase5-doctor-management.sql</x:t>
  </x:si>
  <x:si>
    <x:t xml:space="preserve">Doctor table; new migration</x:t>
  </x:si>
  <x:si>
    <x:t xml:space="preserve">Doctor lacked license, Emirates ID, clinic scope, and modification metadata.</x:t>
  </x:si>
  <x:si>
    <x:t xml:space="preserve">Added required columns, uniqueness/indexes, schema dump alignment, and an explicit production backfill gate.</x:t>
  </x:si>
  <x:si>
    <x:t xml:space="preserve">Meets the FR-11 field contract without inventing historical production values.</x:t>
  </x:si>
  <x:si>
    <x:t xml:space="preserve">Phase 5 — Doctor Management</x:t>
  </x:si>
  <x:si>
    <x:t xml:space="preserve">FR-11; FR-12; FR-14</x:t>
  </x:si>
  <x:si>
    <x:t xml:space="preserve">The baseline lacked required doctor attributes and migration controls.</x:t>
  </x:si>
  <x:si>
    <x:t xml:space="preserve">P5-02</x:t>
  </x:si>
  <x:si>
    <x:t xml:space="preserve">doctor helpers and POST /doctors</x:t>
  </x:si>
  <x:si>
    <x:t xml:space="preserve">/registerDoctor created only MySQL records through nested callbacks and accepted a caller-supplied ID.</x:t>
  </x:si>
  <x:si>
    <x:t xml:space="preserve">Added validated, transaction-based doctor creation with server UUID, authenticated clinic derivation, uniqueness checks, and Fabric call before commit.</x:t>
  </x:si>
  <x:si>
    <x:t xml:space="preserve">Keeps MySQL user/doctor identity and on-chain registration consistent.</x:t>
  </x:si>
  <x:si>
    <x:t xml:space="preserve">FR-11; SEC-06</x:t>
  </x:si>
  <x:si>
    <x:t xml:space="preserve">Required SRS workflow and consistent identity lifecycle were absent.</x:t>
  </x:si>
  <x:si>
    <x:t xml:space="preserve">P5-03</x:t>
  </x:si>
  <x:si>
    <x:t xml:space="preserve">GET/PUT/DELETE /doctors</x:t>
  </x:si>
  <x:si>
    <x:t xml:space="preserve">No complete clinic-scoped MySQL doctor CRUD API existed.</x:t>
  </x:si>
  <x:si>
    <x:t xml:space="preserve">Added list/search source, read, coordinated update, and coordinated delete with clinic enforcement and assigned-patient conflict protection.</x:t>
  </x:si>
  <x:si>
    <x:t xml:space="preserve">Completes administrative doctor management and prevents cross-clinic mutation.</x:t>
  </x:si>
  <x:si>
    <x:t xml:space="preserve">FR-12; FR-14; SEC-08</x:t>
  </x:si>
  <x:si>
    <x:t xml:space="preserve">Required SRS CRUD capability was absent.</x:t>
  </x:si>
  <x:si>
    <x:t xml:space="preserve">P5-04</x:t>
  </x:si>
  <x:si>
    <x:t xml:space="preserve">addDoctor; UpdateDoctorInfo</x:t>
  </x:si>
  <x:si>
    <x:t xml:space="preserve">Doctor transactions omitted license number; update lost Emirates ID and stored patient arrays inconsistently.</x:t>
  </x:si>
  <x:si>
    <x:t xml:space="preserve">Added license number and Emirates ID preservation, deterministic array parsing, and doctor document type.</x:t>
  </x:si>
  <x:si>
    <x:t xml:space="preserve">Aligns on-chain doctor registration/update contracts with Phase 5 payloads.</x:t>
  </x:si>
  <x:si>
    <x:t xml:space="preserve">FR-11; FR-12</x:t>
  </x:si>
  <x:si>
    <x:t xml:space="preserve">Repairs existing transaction shape while extending it for SRS fields.</x:t>
  </x:si>
  <x:si>
    <x:t xml:space="preserve">P5-05</x:t>
  </x:si>
  <x:si>
    <x:t xml:space="preserve">doctor routes</x:t>
  </x:si>
  <x:si>
    <x:t xml:space="preserve">Blockchain doctor payloads did not require or forward license number.</x:t>
  </x:si>
  <x:si>
    <x:t xml:space="preserve">Create/update routes validate and forward licenseNumber and emiratesID with existing JWT/MSP clinic binding.</x:t>
  </x:si>
  <x:si>
    <x:t xml:space="preserve">Preserves Phase 2 authorization while completing doctor payload parity.</x:t>
  </x:si>
  <x:si>
    <x:t xml:space="preserve">FR-11; FR-12; SEC-02; SEC-06</x:t>
  </x:si>
  <x:si>
    <x:t xml:space="preserve">Required field support was absent.</x:t>
  </x:si>
  <x:si>
    <x:t xml:space="preserve">P5-06</x:t>
  </x:si>
  <x:si>
    <x:t xml:space="preserve">dental-backend/index.js; bc-dentistry-frontend/src/assets/Pages/Patients.jsx</x:t>
  </x:si>
  <x:si>
    <x:t xml:space="preserve">GET /doctor/me/assigned-patients</x:t>
  </x:si>
  <x:si>
    <x:t xml:space="preserve">Doctor patient retrieval accepted a route doctor ID, relying on mismatch middleware.</x:t>
  </x:si>
  <x:si>
    <x:t xml:space="preserve">Added parameter-free self route deriving doctorID solely from verified JWT; UI now uses it. Chaincode retains actor certificate enforcement.</x:t>
  </x:si>
  <x:si>
    <x:t xml:space="preserve">Removes the spoofable identity input surface at API and UI boundaries.</x:t>
  </x:si>
  <x:si>
    <x:t xml:space="preserve">FR-13; SEC-02; SEC-06</x:t>
  </x:si>
  <x:si>
    <x:t xml:space="preserve">Hardens an existing partial workflow to the required identity guarantee.</x:t>
  </x:si>
  <x:si>
    <x:t xml:space="preserve">P5-07</x:t>
  </x:si>
  <x:si>
    <x:t xml:space="preserve">bc-dentistry-frontend/src/assets/Pages/Doctors.jsx</x:t>
  </x:si>
  <x:si>
    <x:t xml:space="preserve">new page</x:t>
  </x:si>
  <x:si>
    <x:t xml:space="preserve">No admin doctor management UI existed.</x:t>
  </x:si>
  <x:si>
    <x:t xml:space="preserve">Added clinic-scoped list/search, create/update/delete forms, confirmation prompts, loading/empty/success/error states, and license display.</x:t>
  </x:si>
  <x:si>
    <x:t xml:space="preserve">Completes the admin-facing FR-11 to FR-14 workflow.</x:t>
  </x:si>
  <x:si>
    <x:t xml:space="preserve">FR-11 to FR-14</x:t>
  </x:si>
  <x:si>
    <x:t xml:space="preserve">Required SRS UI capability was absent.</x:t>
  </x:si>
  <x:si>
    <x:t xml:space="preserve">P5-08</x:t>
  </x:si>
  <x:si>
    <x:t xml:space="preserve">bc-dentistry-frontend/src/App.jsx; assets/Pages/index.js; assets/Sections/Navbar.jsx</x:t>
  </x:si>
  <x:si>
    <x:t xml:space="preserve">routing/navigation</x:t>
  </x:si>
  <x:si>
    <x:t xml:space="preserve">No admin route or navigation entry existed for doctors.</x:t>
  </x:si>
  <x:si>
    <x:t xml:space="preserve">Added admin-only Doctors route, export, and role-gated navigation entry.</x:t>
  </x:si>
  <x:si>
    <x:t xml:space="preserve">Makes doctor management discoverable only to admins.</x:t>
  </x:si>
  <x:si>
    <x:t xml:space="preserve">FR-03; FR-11 to FR-14</x:t>
  </x:si>
  <x:si>
    <x:t xml:space="preserve">Required admin UI entry point was absent.</x:t>
  </x:si>
  <x:si>
    <x:t xml:space="preserve">P5-09</x:t>
  </x:si>
  <x:si>
    <x:t xml:space="preserve">dental-backend/test/phase5DoctorManagement.test.js; phase4PatientManagement.test.js</x:t>
  </x:si>
  <x:si>
    <x:t xml:space="preserve">source tests</x:t>
  </x:si>
  <x:si>
    <x:t xml:space="preserve">No Phase 5 regression checks existed; Phase 4 delete test used a global string position.</x:t>
  </x:si>
  <x:si>
    <x:t xml:space="preserve">Added doctor payload/CRUD/identity/clinic checks and scoped the Phase 4 assertion to its route.</x:t>
  </x:si>
  <x:si>
    <x:t xml:space="preserve">Provides repeatable source evidence without false failures from new doctor delete logic.</x:t>
  </x:si>
  <x:si>
    <x:t xml:space="preserve">FR-11 to FR-14; SEC-06</x:t>
  </x:si>
  <x:si>
    <x:t xml:space="preserve">Test evidence and regression maintenance.</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</x:si>
  <x:si>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</x:si>
  <x:si>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</x:si>
  <x:si>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</x:si>
  <x:si>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</x:si>
  <x:si>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</x:si>
  <x:si>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</x:si>
  <x:si>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</x:si>
  <x:si>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</x:si>
  <x:si>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</x:si>
  <x:si>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</x:si>
  <x:si>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</x:si>
  <x:si>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</x:si>
  <x:si>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</x:si>
  <x:si>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</x:si>
  <x:si>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</x:si>
  <x:si>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</x:si>
  <x:si>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</x:si>
  <x:si>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</x:si>
  <x:si>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</x:si>
  <x:si>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</x:si>
  <x:si>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</x:si>
  <x:si>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</x:si>
  <x:si>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</x:si>
  <x:si>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</x:si>
  <x:si>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</x:si>
  <x:si>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</x:si>
  <x:si>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</x:si>
  <x:si>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</x:si>
  <x:si>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</x:si>
  <x:si>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</x:si>
  <x:si>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</x:si>
  <x:si>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</x:si>
  <x:si>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</x:si>
  <x:si>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</x:si>
  <x:si>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</x:si>
  <x:si>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</x:si>
  <x:si>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</x:si>
  <x:si>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</x:si>
  <x:si>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</x:si>
  <x:si>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</x:si>
  <x:si>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</x:si>
  <x:si>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</x:si>
  <x:si>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</x:si>
  <x:si>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prompt for a future Codex thread to continue from the latest state.</x:t>
  </x:si>
  <x:si>
    <x:t xml:space="preserve">R-09</x:t>
  </x:si>
  <x:si>
    <x:t xml:space="preserve">/home/ubuntu/deployment-backups/20260711-094718</x:t>
  </x:si>
  <x:si>
    <x:t xml:space="preserve">AWS deployment backup</x:t>
  </x:si>
  <x:si>
    <x:t xml:space="preserve">Captured the pre-sync tracked diff, environment files, Compose override, Fabric connection profile, and wallet before resetting the VM checkout to commit 4892875.</x:t>
  </x:si>
  <x:si>
    <x:t xml:space="preserve">Provides rollback evidence and preserves runtime identities/configuration for the Git-synchronized Phase 1 and Phase 2 deployment.</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</x:si>
  <x:si>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</x:si>
  <x:si>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</x:si>
  <x:si>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</x:si>
  <x:si>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</x:si>
  <x:si>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</x:si>
  <x:si>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Pass</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</x:si>
  <x:si>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</x:si>
  <x:si>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</x:si>
  <x:si>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</x:si>
  <x:si>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</x:si>
  <x:si>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</x:si>
  <x:si>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</x:si>
  <x:si>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</x:si>
  <x:si>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</x:si>
  <x:si>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</x:si>
  <x:si>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</x:si>
  <x:si>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</x:si>
  <x:si>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</x:si>
  <x:si>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</x:si>
  <x:si>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</x:si>
  <x:si>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Frontend production build</x:t>
  </x:si>
  <x:si>
    <x:t xml:space="preserve">Pass with warnings for unresolved Inter font paths, Cornerstone fs/path externalization, and large bundle size.</x:t>
  </x:si>
  <x:si>
    <x:t xml:space="preserve">Pass (warnings)</x:t>
  </x:si>
  <x:si>
    <x:t xml:space="preserve">Phase 1 server syntax checks</x:t>
  </x:si>
  <x:si>
    <x:t xml:space="preserve">Pass. node --check succeeded for backend/server.js and dental-backend/index.js.</x:t>
  </x:si>
  <x:si>
    <x:t xml:space="preserve">Blockchain API package metadata</x:t>
  </x:si>
  <x:si>
    <x:t xml:space="preserve">Pass. package.json and package-lock.json parse after adding jsonwebtoken.</x:t>
  </x:si>
  <x:si>
    <x:t xml:space="preserve">Mobile hard-coded protected request scan</x:t>
  </x:si>
  <x:si>
    <x:t xml:space="preserve">Pass. No active Patient1/API_BASE_URL protected request calls found.</x:t>
  </x:si>
  <x:si>
    <x:t xml:space="preserve">Patient identity syntax checks</x:t>
  </x:si>
  <x:si>
    <x:t xml:space="preserve">Pass. node --check succeeded for backend/server.js, dental-backend/index.js, and BC-Dentistry-Mobile-App/utils/api.js.</x:t>
  </x:si>
  <x:si>
    <x:t xml:space="preserve">Patient owner-route scan</x:t>
  </x:si>
  <x:si>
    <x:t xml:space="preserve">Pass. requirePatientSelfParam/body middleware is applied to patient request and consent routes.</x:t>
  </x:si>
  <x:si>
    <x:t xml:space="preserve">Patient mapping schema scan</x:t>
  </x:si>
  <x:si>
    <x:t xml:space="preserve">Pass. Patient.Blockchain_ID exists in schemas/dump and the migration maps seed patient IDs.</x:t>
  </x:si>
  <x:si>
    <x:t xml:space="preserve">Phase 1 bootstrap syntax/build checks</x:t>
  </x:si>
  <x:si>
    <x:t xml:space="preserve">Pass. node --check succeeded for backend/server.js and dental-backend/index.js; Vite frontend build passed with known warnings.</x:t>
  </x:si>
  <x:si>
    <x:t xml:space="preserve">Protected registration scan</x:t>
  </x:si>
  <x:si>
    <x:t xml:space="preserve">Pass. /register now uses authorizeAdminRegistration and Signup.jsx sends jsonHeaders().</x:t>
  </x:si>
  <x:si>
    <x:t xml:space="preserve">AWS migration tracker</x:t>
  </x:si>
  <x:si>
    <x:t xml:space="preserve">Pass. Deployment Migrations sheet tracks migration/env/smoke-test work for the existing AWS VM.</x:t>
  </x:si>
  <x:si>
    <x:t xml:space="preserve">Phase 2 AWS Fabric deployment</x:t>
  </x:si>
  <x:si>
    <x:t xml:space="preserve">Pass. basic 1.0.1 sequence 3 committed with Org1MSP and Org2MSP approvals; PM2 Blockchain API restarted on role-bound identity selection.</x:t>
  </x:si>
  <x:si>
    <x:t xml:space="preserve">Phase 2 live identity integration</x:t>
  </x:si>
  <x:si>
    <x:t xml:space="preserve">Pass. 9 direct gateway checks covered admin clinic scope, doctor actor scope, patient ownership, system logging, and violations.</x:t>
  </x:si>
  <x:si>
    <x:t xml:space="preserve">Phase 2 chaincode unit tests</x:t>
  </x:si>
  <x:si>
    <x:t xml:space="preserve">Pass. 16 role, actor, clinic, system, missing MSP, and untrusted MSP tests completed on AWS temporary test workspace.</x:t>
  </x:si>
  <x:si>
    <x:t xml:space="preserve">Phase 2 gateway resolver tests</x:t>
  </x:si>
  <x:si>
    <x:t xml:space="preserve">Pass. 4 Node tests validated admin, doctor, patient, system, and missing-context wallet mappings.</x:t>
  </x:si>
  <x:si>
    <x:t xml:space="preserve">AWS Phase 1 smoke tests 2026-07-11</x:t>
  </x:si>
  <x:si>
    <x:t xml:space="preserve">Pass. Live AWS checks confirmed migration state, matching JWT secrets, restarted services, protected routes, admin access, doctor self-access, patient owner-only access, frontend availability, and protected registration.</x:t>
  </x:si>
  <x:si>
    <x:t xml:space="preserve">AWS Git-synchronized Phase 1/2 redeployment 2026-07-11</x:t>
  </x:si>
  <x:si>
    <x:t xml:space="preserve">Pass. VM checkout aligned to commit 4892875; Database API rebuilt, Blockchain API restarted, frontend rebuilt/copied to Nginx, JWT secrets matched, bootstrap token remained absent, patient mappings were verified, and public smoke tests passed.</x:t>
  </x:si>
  <x:si>
    <x:t xml:space="preserve">Chaincode test execution after Git sync</x:t>
  </x:si>
  <x:si>
    <x:t xml:space="preserve">Pass with known tooling issue. All 16 Mocha chaincode checks passed when invoked directly. The npm test pre-hook still fails because the inherited ESLint parser configuration does not parse object spread syntax used by the Node 18+ source.</x:t>
  </x:si>
  <x:si>
    <x:t xml:space="preserve">Phase 3 API syntax and route/RBAC suite</x:t>
  </x:si>
  <x:si>
    <x:t xml:space="preserve">Pass. Database and Blockchain API syntax checks passed; 7 identity resolver and Phase 3 route/JWT/role/envelope tests passed.</x:t>
  </x:si>
  <x:si>
    <x:t xml:space="preserve">Phase 3 AWS deployment and smoke test</x:t>
  </x:si>
  <x:si>
    <x:t xml:space="preserve">Pass. Checkout b30cae6 deployed; basic 1.0.2 sequence 4 committed with both MSP approvals; 13 authenticated canonical, validation, role, actor, and consent-denial checks passed.</x:t>
  </x:si>
  <x:si>
    <x:t xml:space="preserve">Phase 4 Node syntax</x:t>
  </x:si>
  <x:si>
    <x:t xml:space="preserve">Pass. Backend, Blockchain API and chaincode parse with bundled Node.</x:t>
  </x:si>
  <x:si>
    <x:t xml:space="preserve">Phase 2-4 route/identity tests</x:t>
  </x:si>
  <x:si>
    <x:t xml:space="preserve">Pass. 10/10 Node tests.</x:t>
  </x:si>
  <x:si>
    <x:t xml:space="preserve">Pass. Vite 5.3.3 production build completed (1,904 modules). Existing unresolved font and large-chunk warnings remain non-blocking.</x:t>
  </x:si>
  <x:si>
    <x:t xml:space="preserve">Phase 5 Node syntax</x:t>
  </x:si>
  <x:si>
    <x:t xml:space="preserve">Pass. Database API, Blockchain API, and chaincode parse with bundled Node.</x:t>
  </x:si>
  <x:si>
    <x:t xml:space="preserve">Phase 2-5 route/identity source tests</x:t>
  </x:si>
  <x:si>
    <x:t xml:space="preserve">Pass. 14/14 Node tests cover gateway identity, Phase 3 parity, Phase 4 patient controls, and Phase 5 doctor controls.</x:t>
  </x:si>
  <x:si>
    <x:t xml:space="preserve">Item</x:t>
  </x:si>
  <x:si>
    <x:t xml:space="preserve">Status / Note</x:t>
  </x:si>
  <x:si>
    <x:t xml:space="preserve">Clinic creation</x:t>
  </x:si>
  <x:si>
    <x:t xml:space="preserve">Doctor registration and patient-in-clinic registration work, but a distinct create-clinic/organization workflow was not confirmed in the UI/API/chaincode.</x:t>
  </x:si>
  <x:si>
    <x:t xml:space="preserve">Chaincode RBAC</x:t>
  </x:si>
  <x:si>
    <x:t xml:space="preserve">Phase 2 is deployed and verified on AWS. Remaining work is lifecycle automation for enrollment/revocation when clinics and users are added or removed.</x:t>
  </x:si>
  <x:si>
    <x:t xml:space="preserve">Mobile app runtime</x:t>
  </x:si>
  <x:si>
    <x:t xml:space="preserve">Mobile sign-in and request/consent calls now use JWT plus the login blockchainID; broader mobile screens still include static/placeholder workflows.</x:t>
  </x:si>
  <x:si>
    <x:t xml:space="preserve">Frontend build warnings</x:t>
  </x:si>
  <x:si>
    <x:t xml:space="preserve">Build succeeds, but font path, Cornerstone, and bundle-size warnings remain.</x:t>
  </x:si>
  <x:si>
    <x:t xml:space="preserve">Fabric ledger cleanliness</x:t>
  </x:si>
  <x:si>
    <x:t xml:space="preserve">Verification created smoke-test ledger records. For a clean demo, reset the Fabric network and reinitialize the ledger.</x:t>
  </x:si>
  <x:si>
    <x:t xml:space="preserve">Patient blockchain identity mapping</x:t>
  </x:si>
  <x:si>
    <x:t xml:space="preserve">Source-level mapping and AWS runtime verification passed 2026-07-11; Patient1-Patient3 mappings are present in the live database.</x:t>
  </x:si>
  <x:si>
    <x:t xml:space="preserve">MSP/certificate token binding</x:t>
  </x:si>
  <x:si>
    <x:t xml:space="preserve">Completed for current AWS identities on 2026-07-11. JWT claims select clinic/actor-bound X.509 wallet identities; ongoing enrollment/revocation automation remains a lifecycle item.</x:t>
  </x:si>
  <x:si>
    <x:t xml:space="preserve">Bootstrap admin registration</x:t>
  </x:si>
  <x:si>
    <x:t xml:space="preserve">Source-level public registration is closed. AWS deployments must use an Admin/System JWT or set ADMIN_BOOTSTRAP_TOKEN temporarily for /register bootstrap.</x:t>
  </x:si>
  <x:si>
    <x:t xml:space="preserve">Chaincode lint pre-hook</x:t>
  </x:si>
  <x:si>
    <x:t xml:space="preserve">The deployed chaincode and all 16 direct Mocha tests pass, but npm test stops in the inherited ESLint pre-hook at object spread syntax. Update the ESLint parser/ecmaVersion configuration so the standard npm test command can run end to end.</x:t>
  </x:si>
  <x:si>
    <x:t xml:space="preserve">Dependency audit findings</x:t>
  </x:si>
  <x:si>
    <x:t xml:space="preserve">Clean AWS installs reported existing npm audit findings: dental-backend 28 vulnerabilities (3 critical), frontend 33 (1 critical), and chaincode 19 (1 critical). Review and remediate with compatibility testing; do not apply npm audit fix --force directly to production.</x:t>
  </x:si>
  <x:si>
    <x:t xml:space="preserve">Phase 3 AWS rollout completed</x:t>
  </x:si>
  <x:si>
    <x:t xml:space="preserve">Passed 2026-07-11. No DB migration required. Backup: /home/ubuntu/deployment-backups/20260711-phase3-predeploy.</x:t>
  </x:si>
  <x:si>
    <x:t xml:space="preserve">Phase 5 doctor CA lifecycle</x:t>
  </x:si>
  <x:si>
    <x:t xml:space="preserve">Required On AWS VM</x:t>
  </x:si>
  <x:si>
    <x:t xml:space="preserve">Source / Path</x:t>
  </x:si>
  <x:si>
    <x:t xml:space="preserve">Action / Command</x:t>
  </x:si>
  <x:si>
    <x:t xml:space="preserve">Status / Notes</x:t>
  </x:si>
  <x:si>
    <x:t xml:space="preserve">MIG-01</x:t>
  </x:si>
  <x:si>
    <x:t xml:space="preserve">Database migration</x:t>
  </x:si>
  <x:si>
    <x:t xml:space="preserve">Yes, before Database API login change is deployed</x:t>
  </x:si>
  <x:si>
    <x:t xml:space="preserve">Source_Code_Remediation/database/migrations/2026-07-10-add-patient-blockchain-id.sql</x:t>
  </x:si>
  <x:si>
    <x:t xml:space="preserve">Run through MySQL client, then verify DESCRIBE Patient and Blockchain_ID backfill.</x:t>
  </x:si>
  <x:si>
    <x:t xml:space="preserve">Passed 2026-07-11. Column and Patient1-Patient3 mappings already existed; rerun returned duplicate-column, so no destructive change was needed.</x:t>
  </x:si>
  <x:si>
    <x:t xml:space="preserve">ENV-01</x:t>
  </x:si>
  <x:si>
    <x:t xml:space="preserve">Shared JWT secret</x:t>
  </x:si>
  <x:si>
    <x:t xml:space="preserve">Yes, before service restart</x:t>
  </x:si>
  <x:si>
    <x:t xml:space="preserve">backend/.env and dental-backend/.env on AWS VM</x:t>
  </x:si>
  <x:si>
    <x:t xml:space="preserve">Set the same strong JWT_SECRET in both APIs.</x:t>
  </x:si>
  <x:si>
    <x:t xml:space="preserve">Passed 2026-07-11. backend/.env and dental-backend/.env JWT_SECRET digests matched.</x:t>
  </x:si>
  <x:si>
    <x:t xml:space="preserve">ENV-02</x:t>
  </x:si>
  <x:si>
    <x:t xml:space="preserve">Admin bootstrap token</x:t>
  </x:si>
  <x:si>
    <x:t xml:space="preserve">Conditional, only if Admin/System JWT is not available for /register</x:t>
  </x:si>
  <x:si>
    <x:t xml:space="preserve">backend/.env on AWS VM</x:t>
  </x:si>
  <x:si>
    <x:t xml:space="preserve">Set ADMIN_BOOTSTRAP_TOKEN, use it through x-bootstrap-token, then rotate/remove when no longer needed.</x:t>
  </x:si>
  <x:si>
    <x:t xml:space="preserve">Not enabled 2026-07-11. ADMIN_BOOTSTRAP_TOKEN is absent; bootstrap registration remains disabled.</x:t>
  </x:si>
  <x:si>
    <x:t xml:space="preserve">TEST-01</x:t>
  </x:si>
  <x:si>
    <x:t xml:space="preserve">Phase 1 smoke tests</x:t>
  </x:si>
  <x:si>
    <x:t xml:space="preserve">Yes, after migration, env update, and service restart</x:t>
  </x:si>
  <x:si>
    <x:t xml:space="preserve">Outputs/SRS_Compliance_Base/Phase1_AWS_Deployment_Runbook.md</x:t>
  </x:si>
  <x:si>
    <x:t xml:space="preserve">Execute checklist items 1-9 against the AWS VM.</x:t>
  </x:si>
  <x:si>
    <x:t xml:space="preserve">Passed again after Git sync on 2026-07-11 at commit 4892875. Public checks: frontend 200; unauthenticated Database/Blockchain APIs 401; admin paths 200; doctor and patient cross-identity paths 403; anonymous registration 401; authorized invalid registration reached 400 validation.</x:t>
  </x:si>
  <x:si>
    <x:t xml:space="preserve">P3-DEP-01</x:t>
  </x:si>
  <x:si>
    <x:t xml:space="preserve">Phase 3 REST API and chaincode rollout</x:t>
  </x:si>
  <x:si>
    <x:t xml:space="preserve">No database migration</x:t>
  </x:si>
  <x:si>
    <x:t xml:space="preserve">Deploy dental-backend and commit updated basic chaincode sequence; restart PM2 service.</x:t>
  </x:si>
  <x:si>
    <x:t xml:space="preserve">Smoke-test all canonical routes, legacy aliases, 401/403 role cases, doctor/patient actor mismatch, and admin clinic mismatch.</x:t>
  </x:si>
  <x:si>
    <x:t xml:space="preserve">Passed 2026-07-11. AWS checkout b30cae6; PM2 Blockchain API online; basic 1.0.2 sequence 4 committed with Org1MSP/Org2MSP approvals; 13 authenticated smoke checks passed.</x:t>
  </x:si>
  <x:si>
    <x:t xml:space="preserve">P4-DB-01</x:t>
  </x:si>
  <x:si>
    <x:t xml:space="preserve">Yes, before Phase 4 Database API restart</x:t>
  </x:si>
  <x:si>
    <x:t xml:space="preserve">Source_Code_Remediation/database/migrations/2026-07-11-phase4-patient-management.sql</x:t>
  </x:si>
  <x:si>
    <x:t xml:space="preserve">Back up MySQL; apply migration; DESCRIBE Patient; verify unique Emirates_ID and clinic FK/index.</x:t>
  </x:si>
  <x:si>
    <x:t xml:space="preserve">Passed 2026-07-11. edr_db backed up; clinics 1/2 seeded; ten Phase 4 columns, both indexes, and fk_patient_clinic verified.</x:t>
  </x:si>
  <x:si>
    <x:t xml:space="preserve">P4-FAB-01</x:t>
  </x:si>
  <x:si>
    <x:t xml:space="preserve">Fabric chaincode upgrade</x:t>
  </x:si>
  <x:si>
    <x:t xml:space="preserve">Yes</x:t>
  </x:si>
  <x:si>
    <x:t xml:space="preserve">dentalRecordSharing.js AddPatientMetadata/UpdatePatientMetadata</x:t>
  </x:si>
  <x:si>
    <x:t xml:space="preserve">Package/install/approve/commit next basic version and sequence; sanitize historical patient state containing PII.</x:t>
  </x:si>
  <x:si>
    <x:t xml:space="preserve">Passed 2026-07-11. Chaincode basic 1.0.3 sequence 5 committed with Org1MSP and Org2MSP approvals; Patient1-Patient3 sanitized.</x:t>
  </x:si>
  <x:si>
    <x:t xml:space="preserve">P4-APP-01</x:t>
  </x:si>
  <x:si>
    <x:t xml:space="preserve">API/frontend rollout</x:t>
  </x:si>
  <x:si>
    <x:t xml:space="preserve">Yes, after DB and Fabric</x:t>
  </x:si>
  <x:si>
    <x:t xml:space="preserve">backend, dental-backend, bc-dentistry-frontend</x:t>
  </x:si>
  <x:si>
    <x:t xml:space="preserve">Restart both PM2 APIs; clean-install/build frontend; copy dist to /var/www/edr; run authenticated create/update/read/assign/delete and negative role/clinic/owner smoke tests.</x:t>
  </x:si>
  <x:si>
    <x:t xml:space="preserve">Deployed 2026-07-11. APIs restarted, frontend rebuilt/copied to Nginx, and full create/update/read/assign/owner/delete smoke flow passed. Final delete-row fix commit 6d48146 awaits pull/rebuild; two legacy ledger-only patients await preservation/sanitization.</x:t>
  </x:si>
  <x:si>
    <x:t xml:space="preserve">P5-DB-01</x:t>
  </x:si>
  <x:si>
    <x:t xml:space="preserve">Yes, before Phase 5 Database API restart</x:t>
  </x:si>
  <x:si>
    <x:t xml:space="preserve">Source_Code_Remediation/database/migrations/2026-07-12-phase5-doctor-management.sql</x:t>
  </x:si>
  <x:si>
    <x:t xml:space="preserve">Back up MySQL; apply migration; backfill real clinic/license/Emirates values for existing doctors; verify uniqueness and no active incomplete rows.</x:t>
  </x:si>
  <x:si>
    <x:t xml:space="preserve">P5-FAB-01</x:t>
  </x:si>
  <x:si>
    <x:t xml:space="preserve">Fabric chaincode/API upgrade</x:t>
  </x:si>
  <x:si>
    <x:t xml:space="preserve">dentalRecordSharing.js; dental-backend/index.js</x:t>
  </x:si>
  <x:si>
    <x:t xml:space="preserve">Package/install/approve/commit next basic version/sequence; restart Blockchain API; verify add/update/read/delete license payloads and clinic denial.</x:t>
  </x:si>
  <x:si>
    <x:t xml:space="preserve">P5-ID-01</x:t>
  </x:si>
  <x:si>
    <x:t xml:space="preserve">Fabric doctor identity lifecycle</x:t>
  </x:si>
  <x:si>
    <x:t xml:space="preserve">Yes, after each create/delete</x:t>
  </x:si>
  <x:si>
    <x:t xml:space="preserve">dental-backend/registerRoleIdentities.js and Fabric CA/wallet</x:t>
  </x:si>
  <x:si>
    <x:t xml:space="preserve">Enroll doctor-&lt;doctorID&gt; with role=doctor and actorID=&lt;doctorID&gt; after creation; revoke/remove the matching identity after deletion; back up wallet first.</x:t>
  </x:si>
  <x:si>
    <x:t xml:space="preserve">P5-APP-01</x:t>
  </x:si>
  <x:si>
    <x:t xml:space="preserve">Database API/frontend rollout</x:t>
  </x:si>
  <x:si>
    <x:t xml:space="preserve">backend; bc-dentistry-frontend</x:t>
  </x:si>
  <x:si>
    <x:t xml:space="preserve">Restart Database API; clean-install/build frontend; copy dist to /var/www/edr; smoke create/list/search/read/update/self-patients/spoof-denial/delete and clear-error states.</x:t>
  </x:si>
  <x:si>
    <x:t xml:space="preserve">Change ID</x:t>
  </x:si>
  <x:si>
    <x:t xml:space="preserve">Change / Control</x:t>
  </x:si>
  <x:si>
    <x:t xml:space="preserve">Why This Change Was Required</x:t>
  </x:si>
  <x:si>
    <x:t xml:space="preserve">SRS Gap Before Change</x:t>
  </x:si>
  <x:si>
    <x:t xml:space="preserve">SRS Requirement(s) Addressed</x:t>
  </x:si>
  <x:si>
    <x:t xml:space="preserve">Evidence / Result</x:t>
  </x:si>
  <x:si>
    <x:t xml:space="preserve">Remaining SRS Limitation</x:t>
  </x:si>
  <x:si>
    <x:t xml:space="preserve">Chaincode MSP and RBAC enforcement</x:t>
  </x:si>
  <x:si>
    <x:t xml:space="preserve">API JWT checks alone could be bypassed by invoking chaincode directly or through another gateway. Fabric therefore needed to enforce authorization at the ledger execution boundary.</x:t>
  </x:si>
  <x:si>
    <x:t xml:space="preserve">Chaincode functions trusted the REST layer and did not consistently verify the invoking MSP, role, actor, clinic, ownership, assignment, or consent context.</x:t>
  </x:si>
  <x:si>
    <x:t xml:space="preserve">SEC-02; SEC-06; FR-03; FR-13; FR-24; FR-25; FR-27</x:t>
  </x:si>
  <x:si>
    <x:t xml:space="preserve">Implemented and deployed. Trusted Org1MSP/Org2MSP plus role, actorID, and clinicID attributes are validated by chaincode.</x:t>
  </x:si>
  <x:si>
    <x:t xml:space="preserve">Automate enrollment/revocation as users and clinics are added or removed.</x:t>
  </x:si>
  <x:si>
    <x:t xml:space="preserve">JWT-to-Fabric wallet identity binding</x:t>
  </x:si>
  <x:si>
    <x:t xml:space="preserve">Transactions submitted as one shared appUser certificate could not prove which authenticated admin, doctor, patient, or system actor initiated the Fabric operation.</x:t>
  </x:si>
  <x:si>
    <x:t xml:space="preserve">The Blockchain API used a shared Fabric identity, leaving an impersonation and non-repudiation gap even though API routes validated JWTs.</x:t>
  </x:si>
  <x:si>
    <x:t xml:space="preserve">SEC-06; SEC-08; FR-24; FR-26</x:t>
  </x:si>
  <x:si>
    <x:t xml:space="preserve">Implemented. JWT organization/blockchain claims select admin-, doctor-, patient-, or system-specific wallet identities; missing identities are rejected before gateway connection.</x:t>
  </x:si>
  <x:si>
    <x:t xml:space="preserve">FR-02 remains a documented deviation: the API JWT itself is still signed with JWT_SECRET rather than an MSP certificate.</x:t>
  </x:si>
  <x:si>
    <x:t xml:space="preserve">Role/actor-bound Fabric CA enrollment</x:t>
  </x:si>
  <x:si>
    <x:t xml:space="preserve">Chaincode cannot make cryptographically grounded role and ownership decisions unless certificate attributes are issued and embedded by the Fabric CA.</x:t>
  </x:si>
  <x:si>
    <x:t xml:space="preserve">The wallet contained only admin and shared appUser identities without the role, actorID, and admin clinicID attributes required by Phase 2 checks.</x:t>
  </x:si>
  <x:si>
    <x:t xml:space="preserve">SEC-02; SEC-06; FR-03</x:t>
  </x:si>
  <x:si>
    <x:t xml:space="preserve">Implemented on AWS. Clinic-bound admin, actor-bound doctor/patient, and system certificates were enrolled after backing up the wallet.</x:t>
  </x:si>
  <x:si>
    <x:t xml:space="preserve">Identity issuance is currently an operational script, not yet integrated into database user lifecycle workflows.</x:t>
  </x:si>
  <x:si>
    <x:t xml:space="preserve">Admin clinic-bound authorization</x:t>
  </x:si>
  <x:si>
    <x:t xml:space="preserve">An Admin role by itself must not authorize an administrator from one clinic to manage or approve requests for another clinic.</x:t>
  </x:si>
  <x:si>
    <x:t xml:space="preserve">Chaincode admin operations checked role but did not cryptographically bind the administrator to the target clinic.</x:t>
  </x:si>
  <x:si>
    <x:t xml:space="preserve">FR-05 to FR-14; FR-22; FR-28; SEC-08</x:t>
  </x:si>
  <x:si>
    <x:t xml:space="preserve">Implemented. Relevant patient/doctor management and request operations compare the transaction certificate clinicID with the requested clinic.</x:t>
  </x:si>
  <x:si>
    <x:t xml:space="preserve">Full patient/doctor CRUD and notification workflow coverage remains in later phases.</x:t>
  </x:si>
  <x:si>
    <x:t xml:space="preserve">P2-05</x:t>
  </x:si>
  <x:si>
    <x:t xml:space="preserve">Doctor actor, assignment, and consent checks</x:t>
  </x:si>
  <x:si>
    <x:t xml:space="preserve">A doctor certificate must not impersonate another doctor or write/read clinical data for an unrelated patient.</x:t>
  </x:si>
  <x:si>
    <x:t xml:space="preserve">Doctor-only role checks did not consistently enforce actorID, assigned-patient relationships, or granted sharing consent inside chaincode.</x:t>
  </x:si>
  <x:si>
    <x:t xml:space="preserve">FR-13; FR-15; FR-16; FR-17; FR-21; FR-25; SEC-08</x:t>
  </x:si>
  <x:si>
    <x:t xml:space="preserve">Implemented. Doctor identity, assignment, and consent are enforced for assigned-patient queries, requests, clinical records, dental data, and files.</x:t>
  </x:si>
  <x:si>
    <x:t xml:space="preserve">Complete clinical REST/UI workflows and automatic access logging are still scheduled for later phases.</x:t>
  </x:si>
  <x:si>
    <x:t xml:space="preserve">P2-06</x:t>
  </x:si>
  <x:si>
    <x:t xml:space="preserve">Patient owner-only chaincode paths</x:t>
  </x:si>
  <x:si>
    <x:t xml:space="preserve">API owner checks were insufficient if a patient could call Fabric through another client or alter a transaction argument.</x:t>
  </x:si>
  <x:si>
    <x:t xml:space="preserve">Patient request, consent, and record transactions needed certificate actorID-to-patientID enforcement at chaincode level.</x:t>
  </x:si>
  <x:si>
    <x:t xml:space="preserve">FR-24; FR-27; SEC-02; SEC-06; SEC-08</x:t>
  </x:si>
  <x:si>
    <x:t xml:space="preserve">Implemented. Patient certificate actorID must match the requested patient for consent, queues, records, dental data, and files.</x:t>
  </x:si>
  <x:si>
    <x:t xml:space="preserve">Consent revocation, notifications, and full mobile workflow remain later-phase items.</x:t>
  </x:si>
  <x:si>
    <x:t xml:space="preserve">P2-07</x:t>
  </x:si>
  <x:si>
    <x:t xml:space="preserve">System-only initialization and access logging</x:t>
  </x:si>
  <x:si>
    <x:t xml:space="preserve">Ledger initialization and immutable audit creation are privileged service operations and must not be callable by ordinary users.</x:t>
  </x:si>
  <x:si>
    <x:t xml:space="preserve">Initialization/helper functions were publicly invokable and LogAccess needed a dedicated service identity boundary.</x:t>
  </x:si>
  <x:si>
    <x:t xml:space="preserve">FR-26; SEC-02; GDPR audit requirement</x:t>
  </x:si>
  <x:si>
    <x:t xml:space="preserve">Implemented. System certificate is required for initialization and LogAccess; public actorExists is restricted to Admin/System.</x:t>
  </x:si>
  <x:si>
    <x:t xml:space="preserve">Automatic LogAccess invocation on every approved data read remains Phase 8 work.</x:t>
  </x:si>
  <x:si>
    <x:t xml:space="preserve">P2-08</x:t>
  </x:si>
  <x:si>
    <x:t xml:space="preserve">Role/MSP violation and live deployment evidence</x:t>
  </x:si>
  <x:si>
    <x:t xml:space="preserve">Security controls require negative tests and deployed evidence; source inspection alone cannot prove enforcement across Fabric identities.</x:t>
  </x:si>
  <x:si>
    <x:t xml:space="preserve">The SRS testing section required pass/fail evidence for unauthorized admin, doctor, patient, system, and MSP paths.</x:t>
  </x:si>
  <x:si>
    <x:t xml:space="preserve">SRS Section 8; SEC-02; SEC-06</x:t>
  </x:si>
  <x:si>
    <x:t xml:space="preserve">Passed after Git-synchronized redeployment of commit 4892875: 16 direct chaincode tests, 4 gateway resolver tests, 9 live Fabric identity checks, and the full AWS API regression smoke suite. Chaincode basic 1.0.1 sequence 3 remains committed by Org1MSP and Org2MSP.</x:t>
  </x:si>
  <x:si>
    <x:t xml:space="preserve">Performance, full workflow, and remaining FR evidence continue in Phase 12.</x:t>
  </x:si>
  <x:si>
    <x:t xml:space="preserve">SRS Section 5 API gateway parity</x:t>
  </x:si>
  <x:si>
    <x:t xml:space="preserve">Phase 3</x:t>
  </x:si>
  <x:si>
    <x:t xml:space="preserve">Deployed and verified</x:t>
  </x:si>
  <x:si>
    <x:t xml:space="preserve">dental-backend/index.js; phase3RouteParity.test.js; AWS basic 1.0.2 sequence 4</x:t>
  </x:si>
  <x:si>
    <x:t xml:space="preserve">Six canonical routes, patient/doctor CRUD, separate reject routes, normalized envelopes</x:t>
  </x:si>
  <x:si>
    <x:t xml:space="preserve">7/7 route tests and 13/13 AWS smoke checks pass</x:t>
  </x:si>
  <x:si>
    <x:t xml:space="preserve">Complete</x:t>
  </x:si>
  <x:si>
    <x:t xml:space="preserve">P4-FR05-10</x:t>
  </x:si>
  <x:si>
    <x:t xml:space="preserve">FR-05 to FR-10</x:t>
  </x:si>
  <x:si>
    <x:t xml:space="preserve">Deployed with final delete-row correction pending</x:t>
  </x:si>
  <x:si>
    <x:t xml:space="preserve">Hybrid patient CRUD/assignment with all SRS fields, UUID and UI actions.</x:t>
  </x:si>
  <x:si>
    <x:t xml:space="preserve">Full AWS workflow passed; commit 6d48146 fixes explicit Patient subtype deletion.</x:t>
  </x:si>
  <x:si>
    <x:t xml:space="preserve">Pull/rebuild 6d48146 and rerun cleanup verification.</x:t>
  </x:si>
  <x:si>
    <x:t xml:space="preserve">P4-SEC03</x:t>
  </x:si>
  <x:si>
    <x:t xml:space="preserve">SEC-03</x:t>
  </x:si>
  <x:si>
    <x:t xml:space="preserve">Deployed for mapped patients</x:t>
  </x:si>
  <x:si>
    <x:t xml:space="preserve">MySQL PII plus Fabric reference/SHA-256 metadata only.</x:t>
  </x:si>
  <x:si>
    <x:t xml:space="preserve">Patient1-Patient3 sanitized; chaincode 1.0.3 sequence 5 committed.</x:t>
  </x:si>
  <x:si>
    <x:t xml:space="preserve">Preserve/import and sanitize ledger-only Patient5 and PatientQA001; Phase 5 handles doctor PII.</x:t>
  </x:si>
  <x:si>
    <x:t xml:space="preserve">P5-FR11-12-14</x:t>
  </x:si>
  <x:si>
    <x:t xml:space="preserve">Doctor CRUD completion</x:t>
  </x:si>
  <x:si>
    <x:t xml:space="preserve">Doctor profiles and user identities were split between incomplete MySQL and Fabric paths.</x:t>
  </x:si>
  <x:si>
    <x:t xml:space="preserve">License number, unified registration, clinic-scoped read/update/delete, and admin UI were incomplete.</x:t>
  </x:si>
  <x:si>
    <x:t xml:space="preserve">FR-11; FR-12; FR-14; SEC-06</x:t>
  </x:si>
  <x:si>
    <x:t xml:space="preserve">P5-FR13</x:t>
  </x:si>
  <x:si>
    <x:t xml:space="preserve">Authenticated doctor assigned-patient retrieval</x:t>
  </x:si>
  <x:si>
    <x:t xml:space="preserve">A route doctor ID remained client-controlled even though middleware checked it.</x:t>
  </x:si>
  <x:si>
    <x:t xml:space="preserve">Clients could attempt identity spoofing through a path parameter.</x:t>
  </x:si>
  <x:si>
    <x:t xml:space="preserve">Remediation Classification Summary — Phases 1 to 5</x:t>
  </x:si>
  <x:si>
    <x:t xml:space="preserve">Evidence-based distinction between corrections to existing behavior and development performed to close SRS gaps.</x:t>
  </x:si>
  <x:si>
    <x:t xml:space="preserve">Definition</x:t>
  </x:si>
  <x:si>
    <x:t xml:space="preserve">Corrects behavior/configuration that existed but was defective, unsafe, inconsistent, or non-operational.</x:t>
  </x:si>
  <x:si>
    <x:t xml:space="preserve">Adds a required SRS capability or security control that did not exist in the baseline.</x:t>
  </x:si>
  <x:si>
    <x:t xml:space="preserve">Repairs an existing path while materially extending it for an SRS-compliant workflow.</x:t>
  </x:si>
  <x:si>
    <x:t xml:space="preserve">Tests, documentation, migrations, or deployment evidence; not independently end-user functionality.</x:t>
  </x:si>
  <x:si>
    <x:t xml:space="preserve">Phase</x:t>
  </x:si>
  <x:si>
    <x:t xml:space="preserve">Total</x:t>
  </x:si>
  <x:si>
    <x:t xml:space="preserve">Interpretation Notes</x:t>
  </x:si>
  <x:si>
    <x:t xml:space="preserve">1. Classification is based on baseline behavior and SRS obligation, not the filename or engineering discipline.</x:t>
  </x:si>
  <x:si>
    <x:t xml:space="preserve">2. Security controls absent from the baseline are SRS gap development even when they also remediate a vulnerability.</x:t>
  </x:si>
  <x:si>
    <x:t xml:space="preserve">3. Runtime corrections such as wrong ports, crashes, bad type handling, and incompatible Docker/Fabric settings are bug fixes.</x:t>
  </x:si>
  <x:si>
    <x:t xml:space="preserve">4. Documentation and tests are tracked separately so they do not inflate either product-development or defect-remediation totals.</x:t>
  </x:si>
</x:sst>
</file>

<file path=xl/styles.xml><?xml version="1.0" encoding="utf-8"?>
<x:styleSheet xmlns:x="http://schemas.openxmlformats.org/spreadsheetml/2006/main">
  <x:numFmts count="1">
    <x:numFmt numFmtId="164" formatCode="m/d/yy"/>
  </x:numFmts>
  <x:fonts count="29">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0"/>
      <x:color rgb="FF1F4E79"/>
      <x:name val="Aptos Narrow"/>
    </x:font>
    <x:font>
      <x:b/>
      <x:sz val="10"/>
      <x:color rgb="FFFFFFFF"/>
      <x:name val="Aptos Narrow"/>
    </x:font>
    <x:font>
      <x:b/>
      <x:sz val="10"/>
      <x:color rgb="FF1F3A5F"/>
      <x:name val="Aptos Narrow"/>
    </x:font>
    <x:font>
      <x:b/>
      <x:sz val="10"/>
      <x:color rgb="FF000000"/>
      <x:name val="Aptos Narrow"/>
    </x:font>
    <x:font>
      <x:b/>
      <x:sz val="11"/>
      <x:color rgb="FF843C0C"/>
      <x:name val="Aptos Narrow"/>
    </x:font>
    <x:font>
      <x:b/>
      <x:sz val="11"/>
      <x:color rgb="FF5A4A82"/>
      <x:name val="Aptos Narrow"/>
    </x:font>
    <x:font>
      <x:b/>
      <x:sz val="11"/>
      <x:color rgb="FF215868"/>
      <x:name val="Aptos Narrow"/>
    </x:font>
    <x:font>
      <x:b/>
      <x:sz val="16"/>
      <x:color rgb="FFFFFFFF"/>
      <x:name val="Aptos Narrow"/>
    </x:font>
    <x:font>
      <x:i/>
      <x:sz val="11"/>
      <x:color rgb="FF334155"/>
      <x:name val="Aptos Narrow"/>
    </x:font>
    <x:font>
      <x:b/>
      <x:sz val="11"/>
      <x:color rgb="FF953735"/>
      <x:name val="Aptos Narrow"/>
    </x:font>
    <x:font>
      <x:sz val="10"/>
      <x:color theme="1"/>
      <x:name val="Aptos Narrow"/>
    </x:font>
    <x:font>
      <x:b/>
      <x:sz val="10"/>
      <x:color rgb="FF000000"/>
      <x:name val="Aptos Narrow"/>
    </x:font>
    <x:font>
      <x:b/>
      <x:sz val="10"/>
      <x:color rgb="FF1F4E79"/>
      <x:name val="Aptos Narrow"/>
    </x:font>
    <x:font>
      <x:b/>
      <x:sz val="10"/>
      <x:color rgb="FF1F3A5F"/>
      <x:name val="Aptos Narrow"/>
    </x:font>
  </x:fonts>
  <x:fills count="24">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1F3A5F"/>
      </x:patternFill>
    </x:fill>
    <x:fill>
      <x:patternFill patternType="solid">
        <x:fgColor rgb="FFE8EDF4"/>
      </x:patternFill>
    </x:fill>
    <x:fill>
      <x:patternFill patternType="solid">
        <x:fgColor rgb="FF1F3864"/>
      </x:patternFill>
    </x:fill>
    <x:fill>
      <x:patternFill patternType="solid">
        <x:fgColor rgb="FF375623"/>
      </x:patternFill>
    </x:fill>
    <x:fill>
      <x:patternFill patternType="solid">
        <x:fgColor rgb="FF833C00"/>
      </x:patternFill>
    </x:fill>
    <x:fill>
      <x:patternFill patternType="solid">
        <x:fgColor rgb="FFFCE4D6"/>
      </x:patternFill>
    </x:fill>
    <x:fill>
      <x:patternFill patternType="solid">
        <x:fgColor rgb="FFE1DFEC"/>
      </x:patternFill>
    </x:fill>
    <x:fill>
      <x:patternFill patternType="solid">
        <x:fgColor rgb="FFDAEEF3"/>
      </x:patternFill>
    </x:fill>
    <x:fill>
      <x:patternFill patternType="solid">
        <x:fgColor rgb="FF0B1F3A"/>
      </x:patternFill>
    </x:fill>
    <x:fill>
      <x:patternFill patternType="solid">
        <x:fgColor rgb="FFDCE6F1"/>
      </x:patternFill>
    </x:fill>
    <x:fill>
      <x:patternFill patternType="solid">
        <x:fgColor rgb="FF17365D"/>
      </x:patternFill>
    </x:fill>
    <x:fill>
      <x:patternFill patternType="solid">
        <x:fgColor rgb="FFF2DCDB"/>
      </x:patternFill>
    </x:fill>
    <x:fill>
      <x:patternFill patternType="solid">
        <x:fgColor indexed="64"/>
      </x:patternFill>
    </x:fill>
    <x:fill>
      <x:patternFill patternType="solid">
        <x:fgColor rgb="FF375623"/>
      </x:patternFill>
    </x:fill>
  </x:fills>
  <x:borders count="24">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left style="thin">
        <x:color rgb="FFA6A6A6"/>
      </x:left>
      <x:right style="thin">
        <x:color rgb="FFA6A6A6"/>
      </x:right>
      <x:top style="thin">
        <x:color rgb="FFA6A6A6"/>
      </x:top>
      <x:bottom style="thin">
        <x:color rgb="FFA6A6A6"/>
      </x:bottom>
    </x:border>
    <x:border>
      <x:right style="thin">
        <x:color rgb="FFA6A6A6"/>
      </x:right>
      <x:bottom style="thin">
        <x:color rgb="FFA6A6A6"/>
      </x:bottom>
    </x:border>
    <x:border>
      <x:left style="thin">
        <x:color rgb="FFA6A6A6"/>
      </x:left>
      <x:right style="thin">
        <x:color rgb="FFA6A6A6"/>
      </x:right>
      <x:bottom style="thin">
        <x:color rgb="FFA6A6A6"/>
      </x:bottom>
    </x:border>
    <x:border>
      <x:left style="thin">
        <x:color rgb="FFA6A6A6"/>
      </x:left>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ttom style="thin">
        <x:color rgb="FFA6A6A6"/>
      </x:bottom>
    </x:border>
    <x:border>
      <x:right style="thin">
        <x:color rgb="FFA6A6A6"/>
      </x:right>
      <x:top style="thin">
        <x:color rgb="FFA6A6A6"/>
      </x:top>
    </x:border>
    <x:border>
      <x:left style="thin">
        <x:color rgb="FFA6A6A6"/>
      </x:left>
      <x:right style="thin">
        <x:color rgb="FFA6A6A6"/>
      </x:right>
      <x:top style="thin">
        <x:color rgb="FFA6A6A6"/>
      </x:top>
    </x:border>
    <x:border>
      <x:left style="thin">
        <x:color rgb="FFA6A6A6"/>
      </x:left>
      <x:top style="thin">
        <x:color rgb="FFA6A6A6"/>
      </x:top>
    </x:border>
  </x:borders>
  <x:cellStyleXfs count="1">
    <x:xf numFmtId="0" fontId="0" fillId="0" borderId="0"/>
  </x:cellStyleXfs>
  <x:cellXfs count="91">
    <x:xf numFmtId="0" fontId="0" fillId="0" borderId="0" xfId="0"/>
    <x:xf numFmtId="0" fontId="11" fillId="0" borderId="0" xfId="0" applyFont="1"/>
    <x:xf numFmtId="0" fontId="12" fillId="0" borderId="0" xfId="0" applyFont="1"/>
    <x:xf numFmtId="0" fontId="14" fillId="0" borderId="0" xfId="0" applyFont="1"/>
    <x:xf numFmtId="0" fontId="2" fillId="2" borderId="1" xfId="0" applyFont="1" applyFill="1" applyBorder="1"/>
    <x:xf numFmtId="0" fontId="4" fillId="3" borderId="2" xfId="0" applyFont="1" applyFill="1" applyBorder="1"/>
    <x:xf numFmtId="0" fontId="0" fillId="0" borderId="2" xfId="0" applyBorder="1" applyAlignment="1">
      <x:alignment horizontal="center"/>
    </x:xf>
    <x:xf numFmtId="0" fontId="5" fillId="4" borderId="2" xfId="0" applyFont="1" applyFill="1" applyBorder="1"/>
    <x:xf numFmtId="0" fontId="6" fillId="5" borderId="2" xfId="0" applyFont="1" applyFill="1" applyBorder="1"/>
    <x:xf numFmtId="0" fontId="7" fillId="6" borderId="2" xfId="0" applyFont="1" applyFill="1" applyBorder="1"/>
    <x:xf numFmtId="0" fontId="0" fillId="0" borderId="2" xfId="0" applyBorder="1"/>
    <x:xf numFmtId="0" fontId="14" fillId="0" borderId="2" xfId="0" applyFont="1" applyBorder="1"/>
    <x:xf numFmtId="0" fontId="0" fillId="0" borderId="3" xfId="0" applyBorder="1"/>
    <x:xf numFmtId="0" fontId="0" fillId="0" borderId="3" xfId="0" applyBorder="1" applyAlignment="1">
      <x:alignment horizontal="center"/>
    </x:xf>
    <x:xf numFmtId="0" fontId="1" fillId="9" borderId="4" xfId="0" applyFont="1" applyFill="1" applyBorder="1"/>
    <x:xf numFmtId="0" fontId="1" fillId="9" borderId="4" xfId="0" applyFont="1" applyFill="1" applyBorder="1" applyAlignment="1">
      <x:alignment horizontal="center"/>
    </x:xf>
    <x:xf numFmtId="164" fontId="0" fillId="0" borderId="0" xfId="0" applyNumberFormat="1"/>
    <x:xf numFmtId="0" fontId="16" fillId="10" borderId="5" xfId="0" applyFont="1" applyFill="1" applyBorder="1" applyAlignment="1">
      <x:alignment vertical="center" wrapText="1"/>
    </x:xf>
    <x:xf numFmtId="0" fontId="16" fillId="14" borderId="0" xfId="0" applyFont="1" applyFill="1" applyAlignment="1">
      <x:alignment vertical="center" wrapText="1"/>
    </x:xf>
    <x:xf numFmtId="0" fontId="20" fillId="16" borderId="3" xfId="0" applyFont="1" applyFill="1" applyBorder="1"/>
    <x:xf numFmtId="0" fontId="21" fillId="17" borderId="3" xfId="0" applyFont="1" applyFill="1" applyBorder="1"/>
    <x:xf numFmtId="0" fontId="19" fillId="15" borderId="3" xfId="0" applyFont="1" applyFill="1" applyBorder="1"/>
    <x:xf numFmtId="0" fontId="0" fillId="0" borderId="0" xfId="0" applyAlignment="1">
      <x:alignment vertical="center"/>
    </x:xf>
    <x:xf numFmtId="0" fontId="3" fillId="0" borderId="0" xfId="0" applyFont="1" applyAlignment="1">
      <x:alignment vertical="center" wrapText="1"/>
    </x:xf>
    <x:xf numFmtId="0" fontId="3" fillId="0" borderId="0" xfId="0" applyFont="1" applyAlignment="1">
      <x:alignment horizontal="center" vertical="center" wrapText="1"/>
    </x:xf>
    <x:xf numFmtId="0" fontId="0" fillId="0" borderId="0" xfId="0" applyAlignment="1">
      <x:alignment horizontal="center" vertical="center"/>
    </x:xf>
    <x:xf numFmtId="0" fontId="16" fillId="13" borderId="0" xfId="0" applyFont="1" applyFill="1" applyAlignment="1">
      <x:alignment horizontal="left" vertical="center" wrapText="1"/>
    </x:xf>
    <x:xf numFmtId="0" fontId="0" fillId="0" borderId="0" xfId="0" applyAlignment="1">
      <x:alignment horizontal="left" vertical="center"/>
    </x:xf>
    <x:xf numFmtId="0" fontId="8" fillId="0" borderId="0" xfId="0" applyFont="1" applyAlignment="1">
      <x:alignment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16" fillId="10" borderId="5" xfId="0" applyFont="1" applyFill="1" applyBorder="1" applyAlignment="1">
      <x:alignment horizontal="left" vertical="center" wrapText="1"/>
    </x:xf>
    <x:xf numFmtId="0" fontId="0" fillId="0" borderId="0" xfId="0" applyAlignment="1">
      <x:alignment vertical="center" wrapText="1"/>
    </x:xf>
    <x:xf numFmtId="0" fontId="0" fillId="0" borderId="6" xfId="0" applyBorder="1" applyAlignment="1">
      <x:alignment vertical="center" wrapText="1"/>
    </x:xf>
    <x:xf numFmtId="0" fontId="0" fillId="0" borderId="8" xfId="0" applyBorder="1" applyAlignment="1">
      <x:alignment vertical="center" wrapText="1"/>
    </x:xf>
    <x:xf numFmtId="0" fontId="0" fillId="0" borderId="9" xfId="0" applyBorder="1" applyAlignment="1">
      <x:alignment vertical="center" wrapText="1"/>
    </x:xf>
    <x:xf numFmtId="0" fontId="0" fillId="0" borderId="11" xfId="0" applyBorder="1" applyAlignment="1">
      <x:alignment vertical="center" wrapText="1"/>
    </x:xf>
    <x:xf numFmtId="0" fontId="0" fillId="0" borderId="12" xfId="0" applyBorder="1" applyAlignment="1">
      <x:alignment vertical="center" wrapText="1"/>
    </x:xf>
    <x:xf numFmtId="0" fontId="0" fillId="0" borderId="14" xfId="0" applyBorder="1" applyAlignment="1">
      <x:alignment vertical="center" wrapText="1"/>
    </x:xf>
    <x:xf numFmtId="1" fontId="0" fillId="0" borderId="7" xfId="0" applyNumberFormat="1" applyBorder="1" applyAlignment="1">
      <x:alignment horizontal="center" vertical="center" wrapText="1"/>
    </x:xf>
    <x:xf numFmtId="1" fontId="0" fillId="0" borderId="10" xfId="0" applyNumberFormat="1" applyBorder="1" applyAlignment="1">
      <x:alignment horizontal="center" vertical="center" wrapText="1"/>
    </x:xf>
    <x:xf numFmtId="1" fontId="0" fillId="0" borderId="13" xfId="0" applyNumberFormat="1" applyBorder="1" applyAlignment="1">
      <x:alignment horizontal="center" vertical="center" wrapText="1"/>
    </x:xf>
    <x:xf numFmtId="1" fontId="0" fillId="0" borderId="8" xfId="0" applyNumberFormat="1" applyBorder="1" applyAlignment="1">
      <x:alignment horizontal="center" vertical="center" wrapText="1"/>
    </x:xf>
    <x:xf numFmtId="1" fontId="0" fillId="0" borderId="11" xfId="0" applyNumberFormat="1" applyBorder="1" applyAlignment="1">
      <x:alignment horizontal="center" vertical="center" wrapText="1"/>
    </x:xf>
    <x:xf numFmtId="1" fontId="0" fillId="0" borderId="14" xfId="0" applyNumberFormat="1" applyBorder="1" applyAlignment="1">
      <x:alignment horizontal="center" vertical="center" wrapText="1"/>
    </x:xf>
    <x:xf numFmtId="0" fontId="17" fillId="11" borderId="5" xfId="0" applyFont="1" applyFill="1" applyBorder="1" applyAlignment="1">
      <x:alignment horizontal="center" vertical="center" wrapText="1"/>
    </x:xf>
    <x:xf numFmtId="0" fontId="2" fillId="20" borderId="0" xfId="0" applyFont="1" applyFill="1" applyAlignment="1">
      <x:alignment horizontal="center" vertical="center" wrapText="1"/>
    </x:xf>
    <x:xf numFmtId="0" fontId="24" fillId="21" borderId="3" xfId="0" applyFont="1" applyFill="1" applyBorder="1"/>
    <x:xf numFmtId="0" fontId="16" fillId="12" borderId="16" xfId="0" applyFont="1" applyFill="1" applyBorder="1" applyAlignment="1">
      <x:alignment vertical="center" wrapText="1"/>
    </x:xf>
    <x:xf numFmtId="0" fontId="16" fillId="12" borderId="17" xfId="0" applyFont="1" applyFill="1" applyBorder="1" applyAlignment="1">
      <x:alignment vertical="center" wrapText="1"/>
    </x:xf>
    <x:xf numFmtId="0" fontId="16" fillId="12" borderId="18" xfId="0" applyFont="1" applyFill="1" applyBorder="1" applyAlignment="1">
      <x:alignment vertical="center" wrapText="1"/>
    </x:xf>
    <x:xf numFmtId="0" fontId="3" fillId="0" borderId="19" xfId="0" applyFont="1" applyBorder="1" applyAlignment="1">
      <x:alignment vertical="center" wrapText="1"/>
    </x:xf>
    <x:xf numFmtId="0" fontId="3" fillId="0" borderId="15" xfId="0" applyFont="1" applyBorder="1" applyAlignment="1">
      <x:alignment vertical="center" wrapText="1"/>
    </x:xf>
    <x:xf numFmtId="0" fontId="18" fillId="0" borderId="20" xfId="0" applyFont="1" applyBorder="1" applyAlignment="1">
      <x:alignment horizontal="center" vertical="center" wrapText="1"/>
    </x:xf>
    <x:xf numFmtId="0" fontId="3" fillId="0" borderId="21" xfId="0" applyFont="1" applyBorder="1" applyAlignment="1">
      <x:alignment vertical="center" wrapText="1"/>
    </x:xf>
    <x:xf numFmtId="0" fontId="3" fillId="0" borderId="22" xfId="0" applyFont="1" applyBorder="1" applyAlignment="1">
      <x:alignment vertical="center" wrapText="1"/>
    </x:xf>
    <x:xf numFmtId="0" fontId="18" fillId="0" borderId="23" xfId="0" applyFont="1" applyBorder="1" applyAlignment="1">
      <x:alignment horizontal="center" vertical="center" wrapText="1"/>
    </x:xf>
    <x:xf numFmtId="0" fontId="17" fillId="0" borderId="19" xfId="0" applyFont="1" applyBorder="1" applyAlignment="1">
      <x:alignment horizontal="center" vertical="center" wrapText="1"/>
    </x:xf>
    <x:xf numFmtId="0" fontId="15" fillId="0" borderId="15" xfId="0" applyFont="1" applyBorder="1" applyAlignment="1">
      <x:alignment horizontal="center" vertical="center" wrapText="1"/>
    </x:xf>
    <x:xf numFmtId="0" fontId="3" fillId="0" borderId="15" xfId="0" applyFont="1" applyBorder="1" applyAlignment="1">
      <x:alignment horizontal="left" vertical="center" wrapText="1"/>
    </x:xf>
    <x:xf numFmtId="0" fontId="3" fillId="0" borderId="20" xfId="0" applyFont="1" applyBorder="1" applyAlignment="1">
      <x:alignment vertical="center" wrapText="1"/>
    </x:xf>
    <x:xf numFmtId="16" fontId="3" fillId="0" borderId="15" xfId="0" applyNumberFormat="1" applyFont="1" applyBorder="1" applyAlignment="1">
      <x:alignment horizontal="left" vertical="center" wrapText="1"/>
    </x:xf>
    <x:xf numFmtId="17" fontId="3" fillId="0" borderId="15" xfId="0" applyNumberFormat="1" applyFont="1" applyBorder="1" applyAlignment="1">
      <x:alignment horizontal="left" vertical="center" wrapText="1"/>
    </x:xf>
    <x:xf numFmtId="0" fontId="17" fillId="0" borderId="21" xfId="0" applyFont="1" applyBorder="1" applyAlignment="1">
      <x:alignment horizontal="center" vertical="center" wrapText="1"/>
    </x:xf>
    <x:xf numFmtId="0" fontId="15" fillId="0" borderId="22" xfId="0" applyFont="1" applyBorder="1" applyAlignment="1">
      <x:alignment horizontal="center" vertical="center" wrapText="1"/>
    </x:xf>
    <x:xf numFmtId="0" fontId="3" fillId="0" borderId="23" xfId="0" applyFont="1" applyBorder="1" applyAlignment="1">
      <x:alignment vertical="center" wrapText="1"/>
    </x:xf>
    <x:xf numFmtId="0" fontId="25" fillId="0" borderId="19" xfId="0" applyFont="1" applyBorder="1"/>
    <x:xf numFmtId="0" fontId="25" fillId="0" borderId="15" xfId="0" applyFont="1" applyBorder="1"/>
    <x:xf numFmtId="0" fontId="25" fillId="0" borderId="21" xfId="0" applyFont="1" applyBorder="1"/>
    <x:xf numFmtId="0" fontId="25" fillId="0" borderId="22" xfId="0" applyFont="1" applyBorder="1"/>
    <x:xf numFmtId="0" fontId="26" fillId="0" borderId="20" xfId="0" applyFont="1" applyBorder="1" applyAlignment="1">
      <x:alignment horizontal="center"/>
    </x:xf>
    <x:xf numFmtId="0" fontId="26" fillId="0" borderId="23" xfId="0" applyFont="1" applyBorder="1" applyAlignment="1">
      <x:alignment horizontal="center"/>
    </x:xf>
    <x:xf numFmtId="0" fontId="28" fillId="0" borderId="19" xfId="0" applyFont="1" applyBorder="1"/>
    <x:xf numFmtId="0" fontId="27" fillId="22" borderId="15" xfId="0" applyFont="1" applyFill="1" applyBorder="1"/>
    <x:xf numFmtId="0" fontId="25" fillId="0" borderId="20" xfId="0" applyFont="1" applyBorder="1"/>
    <x:xf numFmtId="0" fontId="28" fillId="0" borderId="21" xfId="0" applyFont="1" applyBorder="1"/>
    <x:xf numFmtId="0" fontId="27" fillId="22" borderId="22" xfId="0" applyFont="1" applyFill="1" applyBorder="1"/>
    <x:xf numFmtId="0" fontId="25" fillId="0" borderId="23" xfId="0" applyFont="1" applyBorder="1"/>
    <x:xf numFmtId="0" fontId="9" fillId="2" borderId="0" xfId="0" applyFont="1" applyFill="1" applyAlignment="1">
      <x:alignment horizontal="left" vertical="center"/>
    </x:xf>
    <x:xf numFmtId="0" fontId="0" fillId="0" borderId="0" xfId="0"/>
    <x:xf numFmtId="0" fontId="10" fillId="7" borderId="0" xfId="0" applyFont="1" applyFill="1" applyAlignment="1">
      <x:alignment vertical="center"/>
    </x:xf>
    <x:xf numFmtId="0" fontId="13" fillId="8" borderId="0" xfId="0" applyFont="1" applyFill="1" applyAlignment="1">
      <x:alignment vertical="top" wrapText="1"/>
    </x:xf>
    <x:xf numFmtId="0" fontId="0" fillId="0" borderId="0" xfId="0" applyAlignment="1">
      <x:alignment vertical="center" wrapText="1"/>
    </x:xf>
    <x:xf numFmtId="0" fontId="22" fillId="18" borderId="0" xfId="0" applyFont="1" applyFill="1" applyAlignment="1">
      <x:alignment horizontal="center" vertical="center" wrapText="1"/>
    </x:xf>
    <x:xf numFmtId="0" fontId="23" fillId="19" borderId="0" xfId="0" applyFont="1" applyFill="1" applyAlignment="1">
      <x:alignment horizontal="center" vertical="center" wrapText="1"/>
    </x:xf>
    <x:xf numFmtId="0" fontId="2" fillId="20" borderId="0" xfId="0" applyFont="1" applyFill="1" applyAlignment="1">
      <x:alignment horizontal="left" vertical="center" wrapText="1"/>
    </x:xf>
    <x:xf numFmtId="0" fontId="0" fillId="0" borderId="0" xfId="0" applyAlignment="1">
      <x:alignment horizontal="center" vertical="center" wrapText="1"/>
    </x:xf>
    <x:xf numFmtId="0" fontId="18" fillId="23" borderId="20" xfId="0" applyNumberFormat="1" applyFont="1" applyFill="1" applyBorder="1" applyAlignment="1">
      <x:alignment horizontal="center"/>
    </x:xf>
    <x:xf numFmtId="0" fontId="18" fillId="23" borderId="23" xfId="0" applyNumberFormat="1" applyFont="1" applyFill="1" applyBorder="1" applyAlignment="1">
      <x:alignment horizontal="center"/>
    </x:xf>
    <x:xf numFmtId="0" fontId="16" fillId="23" borderId="20" xfId="0" applyNumberFormat="1" applyFont="1" applyFill="1" applyBorder="1" applyAlignment="1">
      <x:alignment horizontal="center"/>
    </x:xf>
    <x:xf numFmtId="0" fontId="16" fillId="23" borderId="23" xfId="0" applyNumberFormat="1" applyFont="1" applyFill="1" applyBorder="1" applyAlignment="1">
      <x:alignment horizontal="center"/>
    </x:xf>
  </x:cellXfs>
  <x:cellStyles count="1">
    <x:cellStyle name="Normal" xfId="0"/>
  </x:cellStyles>
  <x:dxfs count="37">
    <x:dxf>
      <x:font>
        <x:b/>
        <x:color rgb="FF375623"/>
      </x:font>
    </x:dxf>
    <x:dxf>
      <x:font>
        <x:b/>
        <x:color rgb="FF806000"/>
      </x:font>
    </x:dxf>
    <x:dxf>
      <x:font>
        <x:b/>
        <x:color rgb="FF843C0C"/>
      </x:font>
    </x:dxf>
    <x:dxf>
      <x:font>
        <x:b/>
        <x:color rgb="FF953735"/>
      </x:font>
    </x:dxf>
    <x:dxf>
      <x:font>
        <x:b/>
        <x:color rgb="FF843C0C"/>
      </x:font>
    </x:dxf>
    <x:dxf>
      <x:font>
        <x:b/>
        <x:color rgb="FF215868"/>
      </x:font>
    </x:dxf>
    <x:dxf>
      <x:font>
        <x:b/>
        <x:color rgb="FF5A4A82"/>
      </x:font>
    </x:dxf>
    <x:dxf>
      <x:font>
        <x:b/>
        <x:color rgb="FF5A2D82"/>
      </x:font>
    </x:dxf>
    <x:dxf>
      <x:font>
        <x:b/>
        <x:color rgb="FF806000"/>
      </x:font>
    </x:dxf>
    <x:dxf>
      <x:font>
        <x:b/>
        <x:color rgb="FF375623"/>
      </x:font>
    </x:dxf>
    <x:dxf>
      <x:font>
        <x:b/>
        <x:color rgb="FF1F4E79"/>
      </x:font>
    </x:dxf>
    <x:dxf>
      <x:font>
        <x:sz val="10"/>
        <x:name val="Aptos Narrow"/>
      </x:font>
    </x:dxf>
    <x:dxf>
      <x:font>
        <x:sz val="10"/>
        <x:name val="Aptos Narrow"/>
      </x:font>
    </x:dxf>
    <x:dxf>
      <x:font>
        <x:b/>
        <x:sz val="10"/>
        <x:color rgb="FF000000"/>
        <x:name val="Aptos Narrow"/>
      </x:font>
      <x:fill>
        <x:patternFill patternType="none"/>
      </x:fill>
      <x:border>
        <x:left style="thin">
          <x:color rgb="FFA6A6A6"/>
        </x:left>
        <x:right/>
        <x:top style="thin">
          <x:color rgb="FFA6A6A6"/>
        </x:top>
        <x:bottom style="thin">
          <x:color rgb="FFA6A6A6"/>
        </x:bottom>
      </x:border>
    </x:dxf>
    <x:dxf>
      <x:font>
        <x:sz val="10"/>
        <x:name val="Aptos Narrow"/>
      </x:font>
      <x:border>
        <x:left style="thin">
          <x:color rgb="FFA6A6A6"/>
        </x:left>
        <x:right style="thin">
          <x:color rgb="FFA6A6A6"/>
        </x:right>
        <x:top style="thin">
          <x:color rgb="FFA6A6A6"/>
        </x:top>
        <x:bottom style="thin">
          <x:color rgb="FFA6A6A6"/>
        </x:bottom>
      </x:border>
    </x:dxf>
    <x:dxf>
      <x:font>
        <x:sz val="10"/>
        <x:name val="Aptos Narrow"/>
      </x:font>
      <x:border>
        <x:left/>
        <x:right style="thin">
          <x:color rgb="FFA6A6A6"/>
        </x:right>
        <x:top style="thin">
          <x:color rgb="FFA6A6A6"/>
        </x:top>
        <x:bottom style="thin">
          <x:color rgb="FFA6A6A6"/>
        </x:bottom>
      </x:border>
    </x:dxf>
    <x:dxf>
      <x:font>
        <x:sz val="10"/>
        <x:name val="Aptos Narrow"/>
      </x:font>
    </x:dxf>
    <x:dxf>
      <x:border>
        <x:bottom style="thin">
          <x:color rgb="FFA6A6A6"/>
        </x:bottom>
      </x:border>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fill>
        <x:patternFill patternType="none"/>
      </x:fill>
      <x:border>
        <x:left style="thin">
          <x:color rgb="FFA6A6A6"/>
        </x:left>
        <x:right/>
        <x:top style="thin">
          <x:color rgb="FFA6A6A6"/>
        </x:top>
        <x:bottom style="thin">
          <x:color rgb="FFA6A6A6"/>
        </x:bottom>
      </x:border>
    </x:dxf>
    <x:dxf>
      <x:font>
        <x:sz val="10"/>
        <x:name val="Aptos Narrow"/>
      </x:font>
      <x:fill>
        <x:patternFill patternType="none"/>
      </x:fill>
      <x:border>
        <x:left style="thin">
          <x:color rgb="FFA6A6A6"/>
        </x:left>
        <x:right style="thin">
          <x:color rgb="FFA6A6A6"/>
        </x:right>
        <x:top style="thin">
          <x:color rgb="FFA6A6A6"/>
        </x:top>
        <x:bottom style="thin">
          <x:color rgb="FFA6A6A6"/>
        </x:bottom>
      </x:border>
    </x:dxf>
    <x:dxf>
      <x:font>
        <x:sz val="10"/>
        <x:name val="Aptos Narrow"/>
      </x:font>
      <x:fill>
        <x:patternFill patternType="none"/>
      </x:fill>
      <x:border>
        <x:left style="thin">
          <x:color rgb="FFA6A6A6"/>
        </x:left>
        <x:right style="thin">
          <x:color rgb="FFA6A6A6"/>
        </x:right>
        <x:top style="thin">
          <x:color rgb="FFA6A6A6"/>
        </x:top>
        <x:bottom style="thin">
          <x:color rgb="FFA6A6A6"/>
        </x:bottom>
      </x:border>
    </x:dxf>
    <x:dxf>
      <x:font>
        <x:sz val="10"/>
        <x:name val="Aptos Narrow"/>
      </x:font>
      <x:fill>
        <x:patternFill patternType="none"/>
      </x:fill>
      <x:border>
        <x:left style="thin">
          <x:color rgb="FFA6A6A6"/>
        </x:left>
        <x:right style="thin">
          <x:color rgb="FFA6A6A6"/>
        </x:right>
        <x:top style="thin">
          <x:color rgb="FFA6A6A6"/>
        </x:top>
        <x:bottom style="thin">
          <x:color rgb="FFA6A6A6"/>
        </x:bottom>
      </x:border>
    </x:dxf>
    <x:dxf>
      <x:font>
        <x:sz val="10"/>
        <x:name val="Aptos Narrow"/>
      </x:font>
      <x:fill>
        <x:patternFill patternType="none"/>
      </x:fill>
      <x:border>
        <x:left style="thin">
          <x:color rgb="FFA6A6A6"/>
        </x:left>
        <x:right style="thin">
          <x:color rgb="FFA6A6A6"/>
        </x:right>
        <x:top style="thin">
          <x:color rgb="FFA6A6A6"/>
        </x:top>
        <x:bottom style="thin">
          <x:color rgb="FFA6A6A6"/>
        </x:bottom>
      </x:border>
    </x:dxf>
    <x:dxf>
      <x:font>
        <x:sz val="10"/>
        <x:name val="Aptos Narrow"/>
      </x:font>
      <x:fill>
        <x:patternFill patternType="none"/>
      </x:fill>
      <x:border>
        <x:left style="thin">
          <x:color rgb="FFA6A6A6"/>
        </x:left>
        <x:right style="thin">
          <x:color rgb="FFA6A6A6"/>
        </x:right>
        <x:top style="thin">
          <x:color rgb="FFA6A6A6"/>
        </x:top>
        <x:bottom style="thin">
          <x:color rgb="FFA6A6A6"/>
        </x:bottom>
      </x:border>
    </x:dxf>
    <x:dxf>
      <x:font>
        <x:sz val="10"/>
        <x:name val="Aptos Narrow"/>
      </x:font>
      <x:fill>
        <x:patternFill patternType="none"/>
      </x:fill>
      <x:border>
        <x:left style="thin">
          <x:color rgb="FFA6A6A6"/>
        </x:left>
        <x:right style="thin">
          <x:color rgb="FFA6A6A6"/>
        </x:right>
        <x:top style="thin">
          <x:color rgb="FFA6A6A6"/>
        </x:top>
        <x:bottom style="thin">
          <x:color rgb="FFA6A6A6"/>
        </x:bottom>
      </x:border>
    </x:dxf>
    <x:dxf>
      <x:font>
        <x:sz val="10"/>
        <x:name val="Aptos Narrow"/>
      </x:font>
      <x:fill>
        <x:patternFill patternType="none"/>
      </x:fill>
      <x:border>
        <x:left style="thin">
          <x:color rgb="FFA6A6A6"/>
        </x:left>
        <x:right style="thin">
          <x:color rgb="FFA6A6A6"/>
        </x:right>
        <x:top style="thin">
          <x:color rgb="FFA6A6A6"/>
        </x:top>
        <x:bottom style="thin">
          <x:color rgb="FFA6A6A6"/>
        </x:bottom>
      </x:border>
    </x:dxf>
    <x:dxf>
      <x:font>
        <x:sz val="10"/>
        <x:name val="Aptos Narrow"/>
      </x:font>
      <x:fill>
        <x:patternFill patternType="none"/>
      </x:fill>
      <x:border>
        <x:left style="thin">
          <x:color rgb="FFA6A6A6"/>
        </x:left>
        <x:right style="thin">
          <x:color rgb="FFA6A6A6"/>
        </x:right>
        <x:top style="thin">
          <x:color rgb="FFA6A6A6"/>
        </x:top>
        <x:bottom style="thin">
          <x:color rgb="FFA6A6A6"/>
        </x:bottom>
      </x:border>
    </x:dxf>
    <x:dxf>
      <x:font>
        <x:b/>
        <x:sz val="10"/>
        <x:color rgb="FF1F4E79"/>
        <x:name val="Aptos Narrow"/>
      </x:font>
      <x:fill>
        <x:patternFill>
          <x:bgColor indexed="64"/>
        </x:patternFill>
      </x:fill>
      <x:border>
        <x:left style="thin">
          <x:color rgb="FFA6A6A6"/>
        </x:left>
        <x:right style="thin">
          <x:color rgb="FFA6A6A6"/>
        </x:right>
        <x:top style="thin">
          <x:color rgb="FFA6A6A6"/>
        </x:top>
        <x:bottom style="thin">
          <x:color rgb="FFA6A6A6"/>
        </x:bottom>
      </x:border>
    </x:dxf>
    <x:dxf>
      <x:font>
        <x:b/>
        <x:sz val="10"/>
        <x:color rgb="FF1F3A5F"/>
        <x:name val="Aptos Narrow"/>
      </x:font>
      <x:fill>
        <x:patternFill patternType="none"/>
      </x:fill>
      <x:border>
        <x:left/>
        <x:right style="thin">
          <x:color rgb="FFA6A6A6"/>
        </x:right>
        <x:top style="thin">
          <x:color rgb="FFA6A6A6"/>
        </x:top>
        <x:bottom style="thin">
          <x:color rgb="FFA6A6A6"/>
        </x:bottom>
      </x:border>
    </x:dxf>
    <x:dxf>
      <x:font>
        <x:sz val="10"/>
        <x:name val="Aptos Narrow"/>
      </x:font>
      <x:fill>
        <x:patternFill patternType="none"/>
      </x:fill>
    </x:dxf>
    <x:dxf>
      <x:border>
        <x:bottom style="thin">
          <x:color rgb="FFA6A6A6"/>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83e796a2e2124775" /><Relationship Type="http://schemas.openxmlformats.org/officeDocument/2006/relationships/theme" Target="/xl/theme/theme1.xml" Id="R2f756fb522f04df5" /><Relationship Type="http://schemas.openxmlformats.org/officeDocument/2006/relationships/sharedStrings" Target="/xl/sharedStrings.xml" Id="R4ed39dda4fed4e5c" /><Relationship Type="http://schemas.openxmlformats.org/officeDocument/2006/relationships/worksheet" Target="/xl/worksheets/sheet1.xml" Id="R57fcc9bc1a6143fd" /><Relationship Type="http://schemas.openxmlformats.org/officeDocument/2006/relationships/worksheet" Target="/xl/worksheets/sheet2.xml" Id="Rb675cb7d1b894c3b" /><Relationship Type="http://schemas.openxmlformats.org/officeDocument/2006/relationships/worksheet" Target="/xl/worksheets/sheet3.xml" Id="R1c778fc55a27417d" /><Relationship Type="http://schemas.openxmlformats.org/officeDocument/2006/relationships/worksheet" Target="/xl/worksheets/sheet4.xml" Id="R5626caceeba54ecf" /><Relationship Type="http://schemas.openxmlformats.org/officeDocument/2006/relationships/worksheet" Target="/xl/worksheets/sheet5.xml" Id="Rd7ebbc95f38f420f" /><Relationship Type="http://schemas.openxmlformats.org/officeDocument/2006/relationships/worksheet" Target="/xl/worksheets/sheet6.xml" Id="Rc72eb295d1fa4a77" /><Relationship Type="http://schemas.openxmlformats.org/officeDocument/2006/relationships/worksheet" Target="/xl/worksheets/sheet7.xml" Id="R4c0c932904c14e4b" /><Relationship Type="http://schemas.openxmlformats.org/officeDocument/2006/relationships/worksheet" Target="/xl/worksheets/sheet8.xml" Id="Rb20fb3ec8a8d4f01" /></Relationships>
</file>

<file path=xl/drawings/_rels/drawing1.xml.rels>&#65279;<?xml version="1.0" encoding="utf-8"?><Relationships xmlns="http://schemas.openxmlformats.org/package/2006/relationships"><Relationship Type="http://schemas.openxmlformats.org/officeDocument/2006/relationships/chart" Target="/xl/drawings/charts/chart1.xml" Id="R6075459afb804eef"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a:solidFill>
                  <a:schemeClr val="tx1">
                    <a:lumMod val="65000"/>
                    <a:lumOff val="35000"/>
                  </a:schemeClr>
                </a:solidFill>
                <a:latin typeface="+mn-lt"/>
                <a:ea typeface="+mn-lt"/>
                <a:cs typeface="+mn-lt"/>
              </a:rPr>
              <a:t>Changes by Category</a:t>
            </a:r>
          </a:p>
        </c:rich>
      </c:tx>
      <c:txPr>
        <a:bodyPr xmlns:a="http://schemas.openxmlformats.org/drawingml/2006/main" anchorCtr="1"/>
        <a:lstStyle xmlns:a="http://schemas.openxmlformats.org/drawingml/2006/main"/>
        <a:p xmlns:a="http://schemas.openxmlformats.org/drawingml/2006/main">
          <a:pPr>
            <a:defRPr sz="1200" b="1">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rgbClr val="156082"/>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56</c:v>
                </c:pt>
                <c:pt idx="1">
                  <c:v>15</c:v>
                </c:pt>
                <c:pt idx="2">
                  <c:v>13</c:v>
                </c:pt>
                <c:pt idx="3">
                  <c:v>11</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319272</xdr:colOff>
      <xdr:row>10</xdr:row>
      <xdr:rowOff>207528</xdr:rowOff>
    </xdr:from>
    <xdr:to>
      <xdr:col>8</xdr:col>
      <xdr:colOff>1133421</xdr:colOff>
      <xdr:row>24</xdr:row>
      <xdr:rowOff>180921</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075459afb804eef"/>
        </a:graphicData>
      </a:graphic>
    </xdr:graphicFrame>
    <xdr:clientData/>
  </xdr:twoCellAnchor>
</xdr:wsDr>
</file>

<file path=xl/tables/table1.xml><?xml version="1.0" encoding="utf-8"?>
<x:table xmlns:x="http://schemas.openxmlformats.org/spreadsheetml/2006/main" id="1" name="ChangesTable" displayName="ChangesTable" ref="A1:K106" totalsRowShown="0" dataDxfId="35" headerRowBorderDxfId="36">
  <x:autoFilter ref="A1:K106"/>
  <x:tableColumns count="11">
    <x:tableColumn id="1" name="ID" dataDxfId="34"/>
    <x:tableColumn id="2" name="Category" dataDxfId="33"/>
    <x:tableColumn id="3" name="File" dataDxfId="32"/>
    <x:tableColumn id="4" name="Lines Changed" dataDxfId="31"/>
    <x:tableColumn id="5" name="Original Logic / Config" dataDxfId="30"/>
    <x:tableColumn id="6" name="Updated Logic / Config" dataDxfId="29"/>
    <x:tableColumn id="7" name="Reason / Fix" dataDxfId="28"/>
    <x:tableColumn id="8" name="Work Type" dataDxfId="27"/>
    <x:tableColumn id="9" name="Remediation Phase" dataDxfId="26"/>
    <x:tableColumn id="10" name="SRS Requirement / Scope" dataDxfId="25"/>
    <x:tableColumn id="11" name="Classification Basis" dataDxfId="24"/>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0" totalsRowShown="0" dataDxfId="23">
  <x:autoFilter ref="A1:E10"/>
  <x:tableColumns count="5">
    <x:tableColumn id="1" name="ID" dataDxfId="22"/>
    <x:tableColumn id="2" name="Path" dataDxfId="21"/>
    <x:tableColumn id="3" name="Type" dataDxfId="20"/>
    <x:tableColumn id="4" name="What Changed" dataDxfId="19"/>
    <x:tableColumn id="5" name="Purpose / Note" dataDxfId="18"/>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35" totalsRowShown="0" dataDxfId="16" headerRowBorderDxfId="17">
  <x:autoFilter ref="A1:C35"/>
  <x:tableColumns count="3">
    <x:tableColumn id="1" name="Verification Item" dataDxfId="15"/>
    <x:tableColumn id="2" name="Result" dataDxfId="14"/>
    <x:tableColumn id="3" name="Status" dataDxfId="13"/>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12" totalsRowShown="0">
  <x:autoFilter ref="A1:B12"/>
  <x:tableColumns count="2">
    <x:tableColumn id="1" name="Item" dataDxfId="12"/>
    <x:tableColumn id="2" name="Status / Note" dataDxfId="11"/>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f9df0bb38ef4627" /></Relationships>
</file>

<file path=xl/worksheets/_rels/sheet2.xml.rels>&#65279;<?xml version="1.0" encoding="utf-8"?><Relationships xmlns="http://schemas.openxmlformats.org/package/2006/relationships"><Relationship Type="http://schemas.openxmlformats.org/officeDocument/2006/relationships/table" Target="/xl/tables/table1.xml" Id="Rb72daf0ff45441ee" /></Relationships>
</file>

<file path=xl/worksheets/_rels/sheet3.xml.rels>&#65279;<?xml version="1.0" encoding="utf-8"?><Relationships xmlns="http://schemas.openxmlformats.org/package/2006/relationships"><Relationship Type="http://schemas.openxmlformats.org/officeDocument/2006/relationships/table" Target="/xl/tables/table2.xml" Id="Rb3d7ffcfca0641b7" /></Relationships>
</file>

<file path=xl/worksheets/_rels/sheet4.xml.rels>&#65279;<?xml version="1.0" encoding="utf-8"?><Relationships xmlns="http://schemas.openxmlformats.org/package/2006/relationships"><Relationship Type="http://schemas.openxmlformats.org/officeDocument/2006/relationships/table" Target="/xl/tables/table3.xml" Id="R21bb78c5c55d45c7" /></Relationships>
</file>

<file path=xl/worksheets/_rels/sheet5.xml.rels>&#65279;<?xml version="1.0" encoding="utf-8"?><Relationships xmlns="http://schemas.openxmlformats.org/package/2006/relationships"><Relationship Type="http://schemas.openxmlformats.org/officeDocument/2006/relationships/table" Target="/xl/tables/table4.xml" Id="Rb9d6bfe2a9d8459b" /></Relationships>
</file>

<file path=xl/worksheets/sheet1.xml><?xml version="1.0" encoding="utf-8"?>
<x:worksheet xmlns:x="http://schemas.openxmlformats.org/spreadsheetml/2006/main">
  <x:sheetViews>
    <x:sheetView showGridLines="0" workbookViewId="0"/>
  </x:sheetViews>
  <x:sheetFormatPr defaultRowHeight="15"/>
  <x:cols>
    <x:col min="1" max="1" width="9" customWidth="1"/>
    <x:col min="2" max="2" width="38.140625" customWidth="1"/>
    <x:col min="3" max="3" width="33.28515625" customWidth="1"/>
    <x:col min="4" max="4" width="22.85546875" customWidth="1"/>
    <x:col min="5" max="9" width="17.140625" customWidth="1"/>
  </x:cols>
  <x:sheetData>
    <x:row r="2" ht="39.95000076293945" customHeight="1">
      <x:c r="B2" s="78" t="s">
        <x:v>0</x:v>
      </x:c>
      <x:c r="C2" s="79"/>
      <x:c r="D2" s="79"/>
      <x:c r="E2" s="79"/>
      <x:c r="F2" s="79"/>
      <x:c r="G2" s="79"/>
      <x:c r="H2" s="79"/>
      <x:c r="I2" s="79"/>
    </x:row>
    <x:row r="3" ht="24" customHeight="1">
      <x:c r="B3" s="80" t="s">
        <x:v>1</x:v>
      </x:c>
      <x:c r="C3" s="79"/>
      <x:c r="D3" s="79"/>
      <x:c r="E3" s="79"/>
      <x:c r="F3" s="79"/>
      <x:c r="G3" s="79"/>
      <x:c r="H3" s="79"/>
      <x:c r="I3" s="79"/>
    </x:row>
    <x:row r="5">
      <x:c r="B5" s="1" t="s">
        <x:v>2</x:v>
      </x:c>
      <x:c r="C5" t="s">
        <x:v>3</x:v>
      </x:c>
    </x:row>
    <x:row r="6">
      <x:c r="B6" s="1" t="s">
        <x:v>4</x:v>
      </x:c>
      <x:c r="C6" s="16">
        <x:v>46215</x:v>
      </x:c>
    </x:row>
    <x:row r="7">
      <x:c r="B7" s="1" t="s">
        <x:v>5</x:v>
      </x:c>
      <x:c r="C7" s="2" t="s">
        <x:v>6</x:v>
      </x:c>
    </x:row>
    <x:row r="9">
      <x:c r="B9" s="81" t="s">
        <x:v>7</x:v>
      </x:c>
      <x:c r="C9" s="79"/>
      <x:c r="D9" s="79"/>
      <x:c r="E9" s="79"/>
      <x:c r="F9" s="79"/>
      <x:c r="G9" s="79"/>
      <x:c r="H9" s="79"/>
      <x:c r="I9" s="79"/>
    </x:row>
    <x:row r="11" ht="17.25">
      <x:c r="B11" s="3" t="s">
        <x:v>8</x:v>
      </x:c>
    </x:row>
    <x:row r="12">
      <x:c r="B12" s="4" t="s">
        <x:v>9</x:v>
      </x:c>
      <x:c r="C12" s="4" t="s">
        <x:v>10</x:v>
      </x:c>
    </x:row>
    <x:row r="13">
      <x:c r="B13" s="5" t="s">
        <x:v>11</x:v>
      </x:c>
      <x:c r="C13" s="6">
        <x:v>56</x:v>
      </x:c>
    </x:row>
    <x:row r="14">
      <x:c r="B14" s="7" t="s">
        <x:v>12</x:v>
      </x:c>
      <x:c r="C14" s="6">
        <x:v>15</x:v>
      </x:c>
    </x:row>
    <x:row r="15">
      <x:c r="B15" s="8" t="s">
        <x:v>13</x:v>
      </x:c>
      <x:c r="C15" s="6">
        <x:v>13</x:v>
      </x:c>
    </x:row>
    <x:row r="16">
      <x:c r="B16" s="9" t="s">
        <x:v>14</x:v>
      </x:c>
      <x:c r="C16" s="6">
        <x:v>11</x:v>
      </x:c>
    </x:row>
    <x:row r="17">
      <x:c r="B17" s="19" t="s">
        <x:v>15</x:v>
      </x:c>
      <x:c r="C17" s="13">
        <x:v>1</x:v>
      </x:c>
    </x:row>
    <x:row r="18">
      <x:c r="B18" s="20" t="s">
        <x:v>16</x:v>
      </x:c>
      <x:c r="C18" s="13">
        <x:v>4</x:v>
      </x:c>
    </x:row>
    <x:row r="19">
      <x:c r="B19" s="21" t="s">
        <x:v>17</x:v>
      </x:c>
      <x:c r="C19" s="13">
        <x:v>3</x:v>
      </x:c>
    </x:row>
    <x:row r="20">
      <x:c r="B20" s="47" t="s">
        <x:v>18</x:v>
      </x:c>
      <x:c r="C20" s="13">
        <x:v>2</x:v>
      </x:c>
    </x:row>
    <x:row r="21">
      <x:c r="B21" s="14" t="s">
        <x:v>19</x:v>
      </x:c>
      <x:c r="C21" s="15">
        <x:v>105</x:v>
      </x:c>
    </x:row>
    <x:row r="22" ht="17.25">
      <x:c r="B22" s="11" t="s">
        <x:v>20</x:v>
      </x:c>
      <x:c r="C22" s="10"/>
    </x:row>
    <x:row r="23">
      <x:c r="B23" s="10" t="s">
        <x:v>21</x:v>
      </x:c>
      <x:c r="C23" s="6" t="n">
        <x:f>COUNTA(RuntimeTable[ID])</x:f>
        <x:v>9</x:v>
      </x:c>
    </x:row>
    <x:row r="24">
      <x:c r="B24" s="10" t="s">
        <x:v>22</x:v>
      </x:c>
      <x:c r="C24" s="6">
        <x:v>34</x:v>
      </x:c>
    </x:row>
    <x:row r="25">
      <x:c r="B25" s="12" t="s">
        <x:v>23</x:v>
      </x:c>
      <x:c r="C25" s="13">
        <x:v>12</x:v>
      </x:c>
    </x:row>
  </x:sheetData>
  <x:mergeCells>
    <x:mergeCell ref="B2:I2"/>
    <x:mergeCell ref="B3:I3"/>
    <x:mergeCell ref="B9:I9"/>
  </x:mergeCells>
  <x:pageMargins left="0.7" right="0.7" top="0.75" bottom="0.75" header="0.3" footer="0.3"/>
  <x:drawing xmlns:r="http://schemas.openxmlformats.org/officeDocument/2006/relationships" r:id="R6f9df0bb38ef4627"/>
</x:worksheet>
</file>

<file path=xl/worksheets/sheet2.xml><?xml version="1.0" encoding="utf-8"?>
<x:worksheet xmlns:x="http://schemas.openxmlformats.org/spreadsheetml/2006/main">
  <x:sheetFormatPr defaultRowHeight="15"/>
  <x:cols>
    <x:col min="1" max="1" width="9.85546875" style="22" customWidth="1"/>
    <x:col min="2" max="2" width="17.140625" style="22" customWidth="1"/>
    <x:col min="3" max="3" width="50.42578125" style="22" customWidth="1"/>
    <x:col min="4" max="4" width="20" style="22" customWidth="1"/>
    <x:col min="5" max="5" width="74.85546875" style="22" customWidth="1"/>
    <x:col min="6" max="6" width="81.42578125" style="22" customWidth="1"/>
    <x:col min="7" max="7" width="99.7109375" style="22" customWidth="1"/>
    <x:col min="8" max="8" width="22.85546875" customWidth="1"/>
    <x:col min="9" max="9" width="26.7109375" customWidth="1"/>
    <x:col min="10" max="10" width="28.5703125" customWidth="1"/>
    <x:col min="11" max="11" width="45.7109375" customWidth="1"/>
    <x:col min="12" max="16384" width="9.140625" style="22" customWidth="0"/>
  </x:cols>
  <x:sheetData>
    <x:row r="1">
      <x:c r="A1" s="48" t="s">
        <x:v>24</x:v>
      </x:c>
      <x:c r="B1" s="49" t="s">
        <x:v>9</x:v>
      </x:c>
      <x:c r="C1" s="49" t="s">
        <x:v>25</x:v>
      </x:c>
      <x:c r="D1" s="49" t="s">
        <x:v>26</x:v>
      </x:c>
      <x:c r="E1" s="49" t="s">
        <x:v>27</x:v>
      </x:c>
      <x:c r="F1" s="49" t="s">
        <x:v>28</x:v>
      </x:c>
      <x:c r="G1" s="49" t="s">
        <x:v>29</x:v>
      </x:c>
      <x:c r="H1" s="49" t="s">
        <x:v>30</x:v>
      </x:c>
      <x:c r="I1" s="49" t="s">
        <x:v>31</x:v>
      </x:c>
      <x:c r="J1" s="49" t="s">
        <x:v>32</x:v>
      </x:c>
      <x:c r="K1" s="50" t="s">
        <x:v>33</x:v>
      </x:c>
    </x:row>
    <x:row r="2" ht="40.5">
      <x:c r="A2" s="57" t="s">
        <x:v>34</x:v>
      </x:c>
      <x:c r="B2" s="58" t="s">
        <x:v>11</x:v>
      </x:c>
      <x:c r="C2" s="52" t="s">
        <x:v>35</x:v>
      </x:c>
      <x:c r="D2" s="59" t="s">
        <x:v>36</x:v>
      </x:c>
      <x:c r="E2" s="52" t="s">
        <x:v>37</x:v>
      </x:c>
      <x:c r="F2" s="52" t="s">
        <x:v>38</x:v>
      </x:c>
      <x:c r="G2" s="52" t="s">
        <x:v>39</x:v>
      </x:c>
      <x:c r="H2" s="52" t="s">
        <x:v>40</x:v>
      </x:c>
      <x:c r="I2" s="52" t="s">
        <x:v>41</x:v>
      </x:c>
      <x:c r="J2" s="52" t="s">
        <x:v>42</x:v>
      </x:c>
      <x:c r="K2" s="60" t="s">
        <x:v>43</x:v>
      </x:c>
    </x:row>
    <x:row r="3" ht="40.5">
      <x:c r="A3" s="57" t="s">
        <x:v>44</x:v>
      </x:c>
      <x:c r="B3" s="58" t="s">
        <x:v>11</x:v>
      </x:c>
      <x:c r="C3" s="52" t="s">
        <x:v>35</x:v>
      </x:c>
      <x:c r="D3" s="59" t="s">
        <x:v>45</x:v>
      </x:c>
      <x:c r="E3" s="52" t="s">
        <x:v>46</x:v>
      </x:c>
      <x:c r="F3" s="52" t="s">
        <x:v>47</x:v>
      </x:c>
      <x:c r="G3" s="52" t="s">
        <x:v>48</x:v>
      </x:c>
      <x:c r="H3" s="52" t="s">
        <x:v>40</x:v>
      </x:c>
      <x:c r="I3" s="52" t="s">
        <x:v>41</x:v>
      </x:c>
      <x:c r="J3" s="52" t="s">
        <x:v>42</x:v>
      </x:c>
      <x:c r="K3" s="60" t="s">
        <x:v>43</x:v>
      </x:c>
    </x:row>
    <x:row r="4" ht="40.5">
      <x:c r="A4" s="57" t="s">
        <x:v>49</x:v>
      </x:c>
      <x:c r="B4" s="58" t="s">
        <x:v>11</x:v>
      </x:c>
      <x:c r="C4" s="52" t="s">
        <x:v>35</x:v>
      </x:c>
      <x:c r="D4" s="59" t="s">
        <x:v>50</x:v>
      </x:c>
      <x:c r="E4" s="52" t="s">
        <x:v>51</x:v>
      </x:c>
      <x:c r="F4" s="52" t="s">
        <x:v>52</x:v>
      </x:c>
      <x:c r="G4" s="52" t="s">
        <x:v>53</x:v>
      </x:c>
      <x:c r="H4" s="52" t="s">
        <x:v>40</x:v>
      </x:c>
      <x:c r="I4" s="52" t="s">
        <x:v>41</x:v>
      </x:c>
      <x:c r="J4" s="52" t="s">
        <x:v>42</x:v>
      </x:c>
      <x:c r="K4" s="60" t="s">
        <x:v>43</x:v>
      </x:c>
    </x:row>
    <x:row r="5" ht="40.5">
      <x:c r="A5" s="57" t="s">
        <x:v>54</x:v>
      </x:c>
      <x:c r="B5" s="58" t="s">
        <x:v>11</x:v>
      </x:c>
      <x:c r="C5" s="52" t="s">
        <x:v>35</x:v>
      </x:c>
      <x:c r="D5" s="59" t="s">
        <x:v>55</x:v>
      </x:c>
      <x:c r="E5" s="52" t="s">
        <x:v>56</x:v>
      </x:c>
      <x:c r="F5" s="52" t="s">
        <x:v>57</x:v>
      </x:c>
      <x:c r="G5" s="52" t="s">
        <x:v>58</x:v>
      </x:c>
      <x:c r="H5" s="52" t="s">
        <x:v>40</x:v>
      </x:c>
      <x:c r="I5" s="52" t="s">
        <x:v>41</x:v>
      </x:c>
      <x:c r="J5" s="52" t="s">
        <x:v>42</x:v>
      </x:c>
      <x:c r="K5" s="60" t="s">
        <x:v>43</x:v>
      </x:c>
    </x:row>
    <x:row r="6" ht="40.5">
      <x:c r="A6" s="57" t="s">
        <x:v>59</x:v>
      </x:c>
      <x:c r="B6" s="58" t="s">
        <x:v>11</x:v>
      </x:c>
      <x:c r="C6" s="52" t="s">
        <x:v>60</x:v>
      </x:c>
      <x:c r="D6" s="59" t="s">
        <x:v>61</x:v>
      </x:c>
      <x:c r="E6" s="52" t="s">
        <x:v>62</x:v>
      </x:c>
      <x:c r="F6" s="52" t="s">
        <x:v>63</x:v>
      </x:c>
      <x:c r="G6" s="52" t="s">
        <x:v>64</x:v>
      </x:c>
      <x:c r="H6" s="52" t="s">
        <x:v>65</x:v>
      </x:c>
      <x:c r="I6" s="52" t="s">
        <x:v>41</x:v>
      </x:c>
      <x:c r="J6" s="52" t="s">
        <x:v>66</x:v>
      </x:c>
      <x:c r="K6" s="60" t="s">
        <x:v>67</x:v>
      </x:c>
    </x:row>
    <x:row r="7" ht="40.5">
      <x:c r="A7" s="57" t="s">
        <x:v>68</x:v>
      </x:c>
      <x:c r="B7" s="58" t="s">
        <x:v>11</x:v>
      </x:c>
      <x:c r="C7" s="52" t="s">
        <x:v>60</x:v>
      </x:c>
      <x:c r="D7" s="59" t="s">
        <x:v>69</x:v>
      </x:c>
      <x:c r="E7" s="52" t="s">
        <x:v>70</x:v>
      </x:c>
      <x:c r="F7" s="52" t="s">
        <x:v>71</x:v>
      </x:c>
      <x:c r="G7" s="52" t="s">
        <x:v>72</x:v>
      </x:c>
      <x:c r="H7" s="52" t="s">
        <x:v>40</x:v>
      </x:c>
      <x:c r="I7" s="52" t="s">
        <x:v>41</x:v>
      </x:c>
      <x:c r="J7" s="52" t="s">
        <x:v>42</x:v>
      </x:c>
      <x:c r="K7" s="60" t="s">
        <x:v>43</x:v>
      </x:c>
    </x:row>
    <x:row r="8" ht="40.5">
      <x:c r="A8" s="57" t="s">
        <x:v>73</x:v>
      </x:c>
      <x:c r="B8" s="58" t="s">
        <x:v>11</x:v>
      </x:c>
      <x:c r="C8" s="52" t="s">
        <x:v>60</x:v>
      </x:c>
      <x:c r="D8" s="59" t="s">
        <x:v>74</x:v>
      </x:c>
      <x:c r="E8" s="52" t="s">
        <x:v>75</x:v>
      </x:c>
      <x:c r="F8" s="52" t="s">
        <x:v>76</x:v>
      </x:c>
      <x:c r="G8" s="52" t="s">
        <x:v>77</x:v>
      </x:c>
      <x:c r="H8" s="52" t="s">
        <x:v>40</x:v>
      </x:c>
      <x:c r="I8" s="52" t="s">
        <x:v>41</x:v>
      </x:c>
      <x:c r="J8" s="52" t="s">
        <x:v>42</x:v>
      </x:c>
      <x:c r="K8" s="60" t="s">
        <x:v>43</x:v>
      </x:c>
    </x:row>
    <x:row r="9" ht="40.5">
      <x:c r="A9" s="57" t="s">
        <x:v>78</x:v>
      </x:c>
      <x:c r="B9" s="58" t="s">
        <x:v>11</x:v>
      </x:c>
      <x:c r="C9" s="52" t="s">
        <x:v>60</x:v>
      </x:c>
      <x:c r="D9" s="59" t="s">
        <x:v>79</x:v>
      </x:c>
      <x:c r="E9" s="52" t="s">
        <x:v>80</x:v>
      </x:c>
      <x:c r="F9" s="52" t="s">
        <x:v>81</x:v>
      </x:c>
      <x:c r="G9" s="52" t="s">
        <x:v>82</x:v>
      </x:c>
      <x:c r="H9" s="52" t="s">
        <x:v>83</x:v>
      </x:c>
      <x:c r="I9" s="52" t="s">
        <x:v>41</x:v>
      </x:c>
      <x:c r="J9" s="52" t="s">
        <x:v>84</x:v>
      </x:c>
      <x:c r="K9" s="60" t="s">
        <x:v>85</x:v>
      </x:c>
    </x:row>
    <x:row r="10" ht="40.5">
      <x:c r="A10" s="57" t="s">
        <x:v>86</x:v>
      </x:c>
      <x:c r="B10" s="58" t="s">
        <x:v>11</x:v>
      </x:c>
      <x:c r="C10" s="52" t="s">
        <x:v>60</x:v>
      </x:c>
      <x:c r="D10" s="59" t="s">
        <x:v>87</x:v>
      </x:c>
      <x:c r="E10" s="52" t="s">
        <x:v>88</x:v>
      </x:c>
      <x:c r="F10" s="52" t="s">
        <x:v>89</x:v>
      </x:c>
      <x:c r="G10" s="52" t="s">
        <x:v>90</x:v>
      </x:c>
      <x:c r="H10" s="52" t="s">
        <x:v>83</x:v>
      </x:c>
      <x:c r="I10" s="52" t="s">
        <x:v>41</x:v>
      </x:c>
      <x:c r="J10" s="52" t="s">
        <x:v>91</x:v>
      </x:c>
      <x:c r="K10" s="60" t="s">
        <x:v>85</x:v>
      </x:c>
    </x:row>
    <x:row r="11" ht="40.5">
      <x:c r="A11" s="57" t="s">
        <x:v>92</x:v>
      </x:c>
      <x:c r="B11" s="58" t="s">
        <x:v>11</x:v>
      </x:c>
      <x:c r="C11" s="52" t="s">
        <x:v>60</x:v>
      </x:c>
      <x:c r="D11" s="59" t="s">
        <x:v>93</x:v>
      </x:c>
      <x:c r="E11" s="52" t="s">
        <x:v>94</x:v>
      </x:c>
      <x:c r="F11" s="52" t="s">
        <x:v>95</x:v>
      </x:c>
      <x:c r="G11" s="52" t="s">
        <x:v>96</x:v>
      </x:c>
      <x:c r="H11" s="52" t="s">
        <x:v>83</x:v>
      </x:c>
      <x:c r="I11" s="52" t="s">
        <x:v>41</x:v>
      </x:c>
      <x:c r="J11" s="52" t="s">
        <x:v>97</x:v>
      </x:c>
      <x:c r="K11" s="60" t="s">
        <x:v>85</x:v>
      </x:c>
    </x:row>
    <x:row r="12" ht="27">
      <x:c r="A12" s="57" t="s">
        <x:v>98</x:v>
      </x:c>
      <x:c r="B12" s="58" t="s">
        <x:v>11</x:v>
      </x:c>
      <x:c r="C12" s="52" t="s">
        <x:v>60</x:v>
      </x:c>
      <x:c r="D12" s="59" t="s">
        <x:v>99</x:v>
      </x:c>
      <x:c r="E12" s="52" t="s">
        <x:v>100</x:v>
      </x:c>
      <x:c r="F12" s="52" t="s">
        <x:v>101</x:v>
      </x:c>
      <x:c r="G12" s="52" t="s">
        <x:v>102</x:v>
      </x:c>
      <x:c r="H12" s="52" t="s">
        <x:v>65</x:v>
      </x:c>
      <x:c r="I12" s="52" t="s">
        <x:v>41</x:v>
      </x:c>
      <x:c r="J12" s="52" t="s">
        <x:v>66</x:v>
      </x:c>
      <x:c r="K12" s="60" t="s">
        <x:v>67</x:v>
      </x:c>
    </x:row>
    <x:row r="13" ht="40.5">
      <x:c r="A13" s="57" t="s">
        <x:v>103</x:v>
      </x:c>
      <x:c r="B13" s="58" t="s">
        <x:v>11</x:v>
      </x:c>
      <x:c r="C13" s="52" t="s">
        <x:v>104</x:v>
      </x:c>
      <x:c r="D13" s="59" t="s">
        <x:v>105</x:v>
      </x:c>
      <x:c r="E13" s="52" t="s">
        <x:v>106</x:v>
      </x:c>
      <x:c r="F13" s="52" t="s">
        <x:v>107</x:v>
      </x:c>
      <x:c r="G13" s="52" t="s">
        <x:v>108</x:v>
      </x:c>
      <x:c r="H13" s="52" t="s">
        <x:v>40</x:v>
      </x:c>
      <x:c r="I13" s="52" t="s">
        <x:v>41</x:v>
      </x:c>
      <x:c r="J13" s="52" t="s">
        <x:v>42</x:v>
      </x:c>
      <x:c r="K13" s="60" t="s">
        <x:v>43</x:v>
      </x:c>
    </x:row>
    <x:row r="14" ht="40.5">
      <x:c r="A14" s="57" t="s">
        <x:v>109</x:v>
      </x:c>
      <x:c r="B14" s="58" t="s">
        <x:v>11</x:v>
      </x:c>
      <x:c r="C14" s="52" t="s">
        <x:v>104</x:v>
      </x:c>
      <x:c r="D14" s="59" t="s">
        <x:v>110</x:v>
      </x:c>
      <x:c r="E14" s="52" t="s">
        <x:v>111</x:v>
      </x:c>
      <x:c r="F14" s="52" t="s">
        <x:v>112</x:v>
      </x:c>
      <x:c r="G14" s="52" t="s">
        <x:v>113</x:v>
      </x:c>
      <x:c r="H14" s="52" t="s">
        <x:v>40</x:v>
      </x:c>
      <x:c r="I14" s="52" t="s">
        <x:v>41</x:v>
      </x:c>
      <x:c r="J14" s="52" t="s">
        <x:v>42</x:v>
      </x:c>
      <x:c r="K14" s="60" t="s">
        <x:v>43</x:v>
      </x:c>
    </x:row>
    <x:row r="15" ht="40.5">
      <x:c r="A15" s="57" t="s">
        <x:v>114</x:v>
      </x:c>
      <x:c r="B15" s="58" t="s">
        <x:v>11</x:v>
      </x:c>
      <x:c r="C15" s="52" t="s">
        <x:v>104</x:v>
      </x:c>
      <x:c r="D15" s="59" t="s">
        <x:v>115</x:v>
      </x:c>
      <x:c r="E15" s="52" t="s">
        <x:v>116</x:v>
      </x:c>
      <x:c r="F15" s="52" t="s">
        <x:v>117</x:v>
      </x:c>
      <x:c r="G15" s="52" t="s">
        <x:v>118</x:v>
      </x:c>
      <x:c r="H15" s="52" t="s">
        <x:v>40</x:v>
      </x:c>
      <x:c r="I15" s="52" t="s">
        <x:v>41</x:v>
      </x:c>
      <x:c r="J15" s="52" t="s">
        <x:v>42</x:v>
      </x:c>
      <x:c r="K15" s="60" t="s">
        <x:v>43</x:v>
      </x:c>
    </x:row>
    <x:row r="16" ht="40.5">
      <x:c r="A16" s="57" t="s">
        <x:v>119</x:v>
      </x:c>
      <x:c r="B16" s="58" t="s">
        <x:v>11</x:v>
      </x:c>
      <x:c r="C16" s="52" t="s">
        <x:v>104</x:v>
      </x:c>
      <x:c r="D16" s="59">
        <x:v>1184</x:v>
      </x:c>
      <x:c r="E16" s="52" t="s">
        <x:v>120</x:v>
      </x:c>
      <x:c r="F16" s="52" t="s">
        <x:v>121</x:v>
      </x:c>
      <x:c r="G16" s="52" t="s">
        <x:v>122</x:v>
      </x:c>
      <x:c r="H16" s="52" t="s">
        <x:v>40</x:v>
      </x:c>
      <x:c r="I16" s="52" t="s">
        <x:v>41</x:v>
      </x:c>
      <x:c r="J16" s="52" t="s">
        <x:v>123</x:v>
      </x:c>
      <x:c r="K16" s="60" t="s">
        <x:v>43</x:v>
      </x:c>
    </x:row>
    <x:row r="17" ht="27">
      <x:c r="A17" s="57" t="s">
        <x:v>124</x:v>
      </x:c>
      <x:c r="B17" s="58" t="s">
        <x:v>11</x:v>
      </x:c>
      <x:c r="C17" s="52" t="s">
        <x:v>125</x:v>
      </x:c>
      <x:c r="D17" s="61">
        <x:v>46046</x:v>
      </x:c>
      <x:c r="E17" s="52" t="s">
        <x:v>126</x:v>
      </x:c>
      <x:c r="F17" s="52" t="s">
        <x:v>127</x:v>
      </x:c>
      <x:c r="G17" s="52" t="s">
        <x:v>128</x:v>
      </x:c>
      <x:c r="H17" s="52" t="s">
        <x:v>65</x:v>
      </x:c>
      <x:c r="I17" s="52" t="s">
        <x:v>41</x:v>
      </x:c>
      <x:c r="J17" s="52" t="s">
        <x:v>66</x:v>
      </x:c>
      <x:c r="K17" s="60" t="s">
        <x:v>67</x:v>
      </x:c>
    </x:row>
    <x:row r="18" ht="40.5">
      <x:c r="A18" s="57" t="s">
        <x:v>129</x:v>
      </x:c>
      <x:c r="B18" s="58" t="s">
        <x:v>11</x:v>
      </x:c>
      <x:c r="C18" s="52" t="s">
        <x:v>130</x:v>
      </x:c>
      <x:c r="D18" s="61">
        <x:v>46041</x:v>
      </x:c>
      <x:c r="E18" s="52" t="s">
        <x:v>131</x:v>
      </x:c>
      <x:c r="F18" s="52" t="s">
        <x:v>132</x:v>
      </x:c>
      <x:c r="G18" s="52" t="s">
        <x:v>133</x:v>
      </x:c>
      <x:c r="H18" s="52" t="s">
        <x:v>40</x:v>
      </x:c>
      <x:c r="I18" s="52" t="s">
        <x:v>41</x:v>
      </x:c>
      <x:c r="J18" s="52" t="s">
        <x:v>42</x:v>
      </x:c>
      <x:c r="K18" s="60" t="s">
        <x:v>43</x:v>
      </x:c>
    </x:row>
    <x:row r="19" ht="40.5">
      <x:c r="A19" s="57" t="s">
        <x:v>134</x:v>
      </x:c>
      <x:c r="B19" s="58" t="s">
        <x:v>11</x:v>
      </x:c>
      <x:c r="C19" s="52" t="s">
        <x:v>135</x:v>
      </x:c>
      <x:c r="D19" s="61">
        <x:v>46202</x:v>
      </x:c>
      <x:c r="E19" s="52" t="s">
        <x:v>136</x:v>
      </x:c>
      <x:c r="F19" s="52" t="s">
        <x:v>137</x:v>
      </x:c>
      <x:c r="G19" s="52" t="s">
        <x:v>138</x:v>
      </x:c>
      <x:c r="H19" s="52" t="s">
        <x:v>40</x:v>
      </x:c>
      <x:c r="I19" s="52" t="s">
        <x:v>41</x:v>
      </x:c>
      <x:c r="J19" s="52" t="s">
        <x:v>42</x:v>
      </x:c>
      <x:c r="K19" s="60" t="s">
        <x:v>43</x:v>
      </x:c>
    </x:row>
    <x:row r="20" ht="40.5">
      <x:c r="A20" s="57" t="s">
        <x:v>139</x:v>
      </x:c>
      <x:c r="B20" s="58" t="s">
        <x:v>11</x:v>
      </x:c>
      <x:c r="C20" s="52" t="s">
        <x:v>140</x:v>
      </x:c>
      <x:c r="D20" s="61">
        <x:v>46040</x:v>
      </x:c>
      <x:c r="E20" s="52" t="s">
        <x:v>141</x:v>
      </x:c>
      <x:c r="F20" s="52" t="s">
        <x:v>142</x:v>
      </x:c>
      <x:c r="G20" s="52" t="s">
        <x:v>143</x:v>
      </x:c>
      <x:c r="H20" s="52" t="s">
        <x:v>40</x:v>
      </x:c>
      <x:c r="I20" s="52" t="s">
        <x:v>41</x:v>
      </x:c>
      <x:c r="J20" s="52" t="s">
        <x:v>42</x:v>
      </x:c>
      <x:c r="K20" s="60" t="s">
        <x:v>43</x:v>
      </x:c>
    </x:row>
    <x:row r="21" ht="40.5">
      <x:c r="A21" s="57" t="s">
        <x:v>144</x:v>
      </x:c>
      <x:c r="B21" s="58" t="s">
        <x:v>11</x:v>
      </x:c>
      <x:c r="C21" s="52" t="s">
        <x:v>145</x:v>
      </x:c>
      <x:c r="D21" s="62">
        <x:v>17715</x:v>
      </x:c>
      <x:c r="E21" s="52" t="s">
        <x:v>146</x:v>
      </x:c>
      <x:c r="F21" s="52" t="s">
        <x:v>147</x:v>
      </x:c>
      <x:c r="G21" s="52" t="s">
        <x:v>148</x:v>
      </x:c>
      <x:c r="H21" s="52" t="s">
        <x:v>40</x:v>
      </x:c>
      <x:c r="I21" s="52" t="s">
        <x:v>41</x:v>
      </x:c>
      <x:c r="J21" s="52" t="s">
        <x:v>42</x:v>
      </x:c>
      <x:c r="K21" s="60" t="s">
        <x:v>43</x:v>
      </x:c>
    </x:row>
    <x:row r="22" ht="27">
      <x:c r="A22" s="57" t="s">
        <x:v>149</x:v>
      </x:c>
      <x:c r="B22" s="58" t="s">
        <x:v>11</x:v>
      </x:c>
      <x:c r="C22" s="52" t="s">
        <x:v>150</x:v>
      </x:c>
      <x:c r="D22" s="59" t="s">
        <x:v>151</x:v>
      </x:c>
      <x:c r="E22" s="52" t="s">
        <x:v>152</x:v>
      </x:c>
      <x:c r="F22" s="52" t="s">
        <x:v>153</x:v>
      </x:c>
      <x:c r="G22" s="52" t="s">
        <x:v>154</x:v>
      </x:c>
      <x:c r="H22" s="52" t="s">
        <x:v>65</x:v>
      </x:c>
      <x:c r="I22" s="52" t="s">
        <x:v>41</x:v>
      </x:c>
      <x:c r="J22" s="52" t="s">
        <x:v>66</x:v>
      </x:c>
      <x:c r="K22" s="60" t="s">
        <x:v>67</x:v>
      </x:c>
    </x:row>
    <x:row r="23" ht="27">
      <x:c r="A23" s="57" t="s">
        <x:v>155</x:v>
      </x:c>
      <x:c r="B23" s="58" t="s">
        <x:v>11</x:v>
      </x:c>
      <x:c r="C23" s="52" t="s">
        <x:v>156</x:v>
      </x:c>
      <x:c r="D23" s="59" t="s">
        <x:v>157</x:v>
      </x:c>
      <x:c r="E23" s="52" t="s">
        <x:v>158</x:v>
      </x:c>
      <x:c r="F23" s="52" t="s">
        <x:v>159</x:v>
      </x:c>
      <x:c r="G23" s="52" t="s">
        <x:v>160</x:v>
      </x:c>
      <x:c r="H23" s="52" t="s">
        <x:v>65</x:v>
      </x:c>
      <x:c r="I23" s="52" t="s">
        <x:v>41</x:v>
      </x:c>
      <x:c r="J23" s="52" t="s">
        <x:v>161</x:v>
      </x:c>
      <x:c r="K23" s="60" t="s">
        <x:v>67</x:v>
      </x:c>
    </x:row>
    <x:row r="24" ht="27">
      <x:c r="A24" s="57" t="s">
        <x:v>162</x:v>
      </x:c>
      <x:c r="B24" s="58" t="s">
        <x:v>11</x:v>
      </x:c>
      <x:c r="C24" s="52" t="s">
        <x:v>163</x:v>
      </x:c>
      <x:c r="D24" s="59" t="s">
        <x:v>164</x:v>
      </x:c>
      <x:c r="E24" s="52" t="s">
        <x:v>165</x:v>
      </x:c>
      <x:c r="F24" s="52" t="s">
        <x:v>166</x:v>
      </x:c>
      <x:c r="G24" s="52" t="s">
        <x:v>167</x:v>
      </x:c>
      <x:c r="H24" s="52" t="s">
        <x:v>65</x:v>
      </x:c>
      <x:c r="I24" s="52" t="s">
        <x:v>41</x:v>
      </x:c>
      <x:c r="J24" s="52" t="s">
        <x:v>66</x:v>
      </x:c>
      <x:c r="K24" s="60" t="s">
        <x:v>67</x:v>
      </x:c>
    </x:row>
    <x:row r="25" ht="40.5">
      <x:c r="A25" s="57" t="s">
        <x:v>168</x:v>
      </x:c>
      <x:c r="B25" s="58" t="s">
        <x:v>11</x:v>
      </x:c>
      <x:c r="C25" s="52" t="s">
        <x:v>169</x:v>
      </x:c>
      <x:c r="D25" s="59" t="s">
        <x:v>170</x:v>
      </x:c>
      <x:c r="E25" s="52" t="s">
        <x:v>171</x:v>
      </x:c>
      <x:c r="F25" s="52" t="s">
        <x:v>172</x:v>
      </x:c>
      <x:c r="G25" s="52" t="s">
        <x:v>173</x:v>
      </x:c>
      <x:c r="H25" s="52" t="s">
        <x:v>65</x:v>
      </x:c>
      <x:c r="I25" s="52" t="s">
        <x:v>41</x:v>
      </x:c>
      <x:c r="J25" s="52" t="s">
        <x:v>174</x:v>
      </x:c>
      <x:c r="K25" s="60" t="s">
        <x:v>67</x:v>
      </x:c>
    </x:row>
    <x:row r="26" ht="40.5">
      <x:c r="A26" s="57" t="s">
        <x:v>175</x:v>
      </x:c>
      <x:c r="B26" s="58" t="s">
        <x:v>11</x:v>
      </x:c>
      <x:c r="C26" s="52" t="s">
        <x:v>176</x:v>
      </x:c>
      <x:c r="D26" s="59" t="s">
        <x:v>177</x:v>
      </x:c>
      <x:c r="E26" s="52" t="s">
        <x:v>178</x:v>
      </x:c>
      <x:c r="F26" s="52" t="s">
        <x:v>179</x:v>
      </x:c>
      <x:c r="G26" s="52" t="s">
        <x:v>180</x:v>
      </x:c>
      <x:c r="H26" s="52" t="s">
        <x:v>65</x:v>
      </x:c>
      <x:c r="I26" s="52" t="s">
        <x:v>41</x:v>
      </x:c>
      <x:c r="J26" s="52" t="s">
        <x:v>181</x:v>
      </x:c>
      <x:c r="K26" s="60" t="s">
        <x:v>67</x:v>
      </x:c>
    </x:row>
    <x:row r="27" ht="40.5">
      <x:c r="A27" s="57" t="s">
        <x:v>182</x:v>
      </x:c>
      <x:c r="B27" s="58" t="s">
        <x:v>11</x:v>
      </x:c>
      <x:c r="C27" s="52" t="s">
        <x:v>183</x:v>
      </x:c>
      <x:c r="D27" s="59" t="s">
        <x:v>184</x:v>
      </x:c>
      <x:c r="E27" s="52" t="s">
        <x:v>185</x:v>
      </x:c>
      <x:c r="F27" s="52" t="s">
        <x:v>186</x:v>
      </x:c>
      <x:c r="G27" s="52" t="s">
        <x:v>187</x:v>
      </x:c>
      <x:c r="H27" s="52" t="s">
        <x:v>83</x:v>
      </x:c>
      <x:c r="I27" s="52" t="s">
        <x:v>41</x:v>
      </x:c>
      <x:c r="J27" s="52" t="s">
        <x:v>84</x:v>
      </x:c>
      <x:c r="K27" s="60" t="s">
        <x:v>85</x:v>
      </x:c>
    </x:row>
    <x:row r="28" ht="40.5">
      <x:c r="A28" s="57" t="s">
        <x:v>188</x:v>
      </x:c>
      <x:c r="B28" s="58" t="s">
        <x:v>11</x:v>
      </x:c>
      <x:c r="C28" s="52" t="s">
        <x:v>189</x:v>
      </x:c>
      <x:c r="D28" s="61">
        <x:v>46045</x:v>
      </x:c>
      <x:c r="E28" s="52" t="s">
        <x:v>190</x:v>
      </x:c>
      <x:c r="F28" s="52" t="s">
        <x:v>191</x:v>
      </x:c>
      <x:c r="G28" s="52" t="s">
        <x:v>192</x:v>
      </x:c>
      <x:c r="H28" s="52" t="s">
        <x:v>40</x:v>
      </x:c>
      <x:c r="I28" s="52" t="s">
        <x:v>41</x:v>
      </x:c>
      <x:c r="J28" s="52" t="s">
        <x:v>42</x:v>
      </x:c>
      <x:c r="K28" s="60" t="s">
        <x:v>43</x:v>
      </x:c>
    </x:row>
    <x:row r="29" ht="40.5">
      <x:c r="A29" s="57" t="s">
        <x:v>193</x:v>
      </x:c>
      <x:c r="B29" s="58" t="s">
        <x:v>11</x:v>
      </x:c>
      <x:c r="C29" s="52" t="s">
        <x:v>194</x:v>
      </x:c>
      <x:c r="D29" s="59" t="s">
        <x:v>195</x:v>
      </x:c>
      <x:c r="E29" s="52" t="s">
        <x:v>196</x:v>
      </x:c>
      <x:c r="F29" s="52" t="s">
        <x:v>197</x:v>
      </x:c>
      <x:c r="G29" s="52" t="s">
        <x:v>198</x:v>
      </x:c>
      <x:c r="H29" s="52" t="s">
        <x:v>83</x:v>
      </x:c>
      <x:c r="I29" s="52" t="s">
        <x:v>41</x:v>
      </x:c>
      <x:c r="J29" s="52" t="s">
        <x:v>199</x:v>
      </x:c>
      <x:c r="K29" s="60" t="s">
        <x:v>85</x:v>
      </x:c>
    </x:row>
    <x:row r="30" ht="40.5">
      <x:c r="A30" s="57" t="s">
        <x:v>200</x:v>
      </x:c>
      <x:c r="B30" s="58" t="s">
        <x:v>11</x:v>
      </x:c>
      <x:c r="C30" s="52" t="s">
        <x:v>201</x:v>
      </x:c>
      <x:c r="D30" s="59" t="s">
        <x:v>202</x:v>
      </x:c>
      <x:c r="E30" s="52" t="s">
        <x:v>203</x:v>
      </x:c>
      <x:c r="F30" s="52" t="s">
        <x:v>204</x:v>
      </x:c>
      <x:c r="G30" s="52" t="s">
        <x:v>205</x:v>
      </x:c>
      <x:c r="H30" s="52" t="s">
        <x:v>83</x:v>
      </x:c>
      <x:c r="I30" s="52" t="s">
        <x:v>41</x:v>
      </x:c>
      <x:c r="J30" s="52" t="s">
        <x:v>206</x:v>
      </x:c>
      <x:c r="K30" s="60" t="s">
        <x:v>85</x:v>
      </x:c>
    </x:row>
    <x:row r="31" ht="40.5">
      <x:c r="A31" s="57" t="s">
        <x:v>207</x:v>
      </x:c>
      <x:c r="B31" s="58" t="s">
        <x:v>11</x:v>
      </x:c>
      <x:c r="C31" s="52" t="s">
        <x:v>208</x:v>
      </x:c>
      <x:c r="D31" s="59" t="s">
        <x:v>209</x:v>
      </x:c>
      <x:c r="E31" s="52" t="s">
        <x:v>210</x:v>
      </x:c>
      <x:c r="F31" s="52" t="s">
        <x:v>211</x:v>
      </x:c>
      <x:c r="G31" s="52" t="s">
        <x:v>212</x:v>
      </x:c>
      <x:c r="H31" s="52" t="s">
        <x:v>40</x:v>
      </x:c>
      <x:c r="I31" s="52" t="s">
        <x:v>41</x:v>
      </x:c>
      <x:c r="J31" s="52" t="s">
        <x:v>42</x:v>
      </x:c>
      <x:c r="K31" s="60" t="s">
        <x:v>43</x:v>
      </x:c>
    </x:row>
    <x:row r="32" ht="40.5">
      <x:c r="A32" s="57" t="s">
        <x:v>213</x:v>
      </x:c>
      <x:c r="B32" s="58" t="s">
        <x:v>11</x:v>
      </x:c>
      <x:c r="C32" s="52" t="s">
        <x:v>214</x:v>
      </x:c>
      <x:c r="D32" s="59" t="s">
        <x:v>215</x:v>
      </x:c>
      <x:c r="E32" s="52" t="s">
        <x:v>216</x:v>
      </x:c>
      <x:c r="F32" s="52" t="s">
        <x:v>211</x:v>
      </x:c>
      <x:c r="G32" s="52" t="s">
        <x:v>212</x:v>
      </x:c>
      <x:c r="H32" s="52" t="s">
        <x:v>40</x:v>
      </x:c>
      <x:c r="I32" s="52" t="s">
        <x:v>41</x:v>
      </x:c>
      <x:c r="J32" s="52" t="s">
        <x:v>42</x:v>
      </x:c>
      <x:c r="K32" s="60" t="s">
        <x:v>43</x:v>
      </x:c>
    </x:row>
    <x:row r="33" ht="40.5">
      <x:c r="A33" s="57" t="s">
        <x:v>217</x:v>
      </x:c>
      <x:c r="B33" s="58" t="s">
        <x:v>11</x:v>
      </x:c>
      <x:c r="C33" s="52" t="s">
        <x:v>218</x:v>
      </x:c>
      <x:c r="D33" s="59" t="s">
        <x:v>219</x:v>
      </x:c>
      <x:c r="E33" s="52" t="s">
        <x:v>220</x:v>
      </x:c>
      <x:c r="F33" s="52" t="s">
        <x:v>221</x:v>
      </x:c>
      <x:c r="G33" s="52" t="s">
        <x:v>212</x:v>
      </x:c>
      <x:c r="H33" s="52" t="s">
        <x:v>40</x:v>
      </x:c>
      <x:c r="I33" s="52" t="s">
        <x:v>41</x:v>
      </x:c>
      <x:c r="J33" s="52" t="s">
        <x:v>42</x:v>
      </x:c>
      <x:c r="K33" s="60" t="s">
        <x:v>43</x:v>
      </x:c>
    </x:row>
    <x:row r="34" ht="40.5">
      <x:c r="A34" s="57" t="s">
        <x:v>222</x:v>
      </x:c>
      <x:c r="B34" s="58" t="s">
        <x:v>11</x:v>
      </x:c>
      <x:c r="C34" s="52" t="s">
        <x:v>223</x:v>
      </x:c>
      <x:c r="D34" s="59" t="s">
        <x:v>224</x:v>
      </x:c>
      <x:c r="E34" s="52" t="s">
        <x:v>225</x:v>
      </x:c>
      <x:c r="F34" s="52" t="s">
        <x:v>226</x:v>
      </x:c>
      <x:c r="G34" s="52" t="s">
        <x:v>227</x:v>
      </x:c>
      <x:c r="H34" s="52" t="s">
        <x:v>40</x:v>
      </x:c>
      <x:c r="I34" s="52" t="s">
        <x:v>41</x:v>
      </x:c>
      <x:c r="J34" s="52" t="s">
        <x:v>42</x:v>
      </x:c>
      <x:c r="K34" s="60" t="s">
        <x:v>43</x:v>
      </x:c>
    </x:row>
    <x:row r="35" ht="40.5">
      <x:c r="A35" s="57" t="s">
        <x:v>228</x:v>
      </x:c>
      <x:c r="B35" s="58" t="s">
        <x:v>11</x:v>
      </x:c>
      <x:c r="C35" s="52" t="s">
        <x:v>229</x:v>
      </x:c>
      <x:c r="D35" s="59" t="s">
        <x:v>230</x:v>
      </x:c>
      <x:c r="E35" s="52" t="s">
        <x:v>231</x:v>
      </x:c>
      <x:c r="F35" s="52" t="s">
        <x:v>232</x:v>
      </x:c>
      <x:c r="G35" s="52" t="s">
        <x:v>233</x:v>
      </x:c>
      <x:c r="H35" s="52" t="s">
        <x:v>40</x:v>
      </x:c>
      <x:c r="I35" s="52" t="s">
        <x:v>41</x:v>
      </x:c>
      <x:c r="J35" s="52" t="s">
        <x:v>42</x:v>
      </x:c>
      <x:c r="K35" s="60" t="s">
        <x:v>43</x:v>
      </x:c>
    </x:row>
    <x:row r="36" ht="40.5">
      <x:c r="A36" s="57" t="s">
        <x:v>234</x:v>
      </x:c>
      <x:c r="B36" s="58" t="s">
        <x:v>12</x:v>
      </x:c>
      <x:c r="C36" s="52" t="s">
        <x:v>235</x:v>
      </x:c>
      <x:c r="D36" s="59" t="s">
        <x:v>236</x:v>
      </x:c>
      <x:c r="E36" s="52" t="s">
        <x:v>237</x:v>
      </x:c>
      <x:c r="F36" s="52" t="s">
        <x:v>238</x:v>
      </x:c>
      <x:c r="G36" s="52" t="s">
        <x:v>239</x:v>
      </x:c>
      <x:c r="H36" s="52" t="s">
        <x:v>40</x:v>
      </x:c>
      <x:c r="I36" s="52" t="s">
        <x:v>41</x:v>
      </x:c>
      <x:c r="J36" s="52" t="s">
        <x:v>42</x:v>
      </x:c>
      <x:c r="K36" s="60" t="s">
        <x:v>43</x:v>
      </x:c>
    </x:row>
    <x:row r="37" ht="40.5">
      <x:c r="A37" s="57" t="s">
        <x:v>240</x:v>
      </x:c>
      <x:c r="B37" s="58" t="s">
        <x:v>12</x:v>
      </x:c>
      <x:c r="C37" s="52" t="s">
        <x:v>241</x:v>
      </x:c>
      <x:c r="D37" s="61">
        <x:v>46026</x:v>
      </x:c>
      <x:c r="E37" s="52" t="s">
        <x:v>242</x:v>
      </x:c>
      <x:c r="F37" s="52" t="s">
        <x:v>243</x:v>
      </x:c>
      <x:c r="G37" s="52" t="s">
        <x:v>244</x:v>
      </x:c>
      <x:c r="H37" s="52" t="s">
        <x:v>40</x:v>
      </x:c>
      <x:c r="I37" s="52" t="s">
        <x:v>41</x:v>
      </x:c>
      <x:c r="J37" s="52" t="s">
        <x:v>42</x:v>
      </x:c>
      <x:c r="K37" s="60" t="s">
        <x:v>43</x:v>
      </x:c>
    </x:row>
    <x:row r="38" ht="40.5">
      <x:c r="A38" s="57" t="s">
        <x:v>245</x:v>
      </x:c>
      <x:c r="B38" s="58" t="s">
        <x:v>12</x:v>
      </x:c>
      <x:c r="C38" s="52" t="s">
        <x:v>246</x:v>
      </x:c>
      <x:c r="D38" s="59" t="s">
        <x:v>247</x:v>
      </x:c>
      <x:c r="E38" s="52" t="s">
        <x:v>248</x:v>
      </x:c>
      <x:c r="F38" s="52" t="s">
        <x:v>249</x:v>
      </x:c>
      <x:c r="G38" s="52" t="s">
        <x:v>250</x:v>
      </x:c>
      <x:c r="H38" s="52" t="s">
        <x:v>40</x:v>
      </x:c>
      <x:c r="I38" s="52" t="s">
        <x:v>41</x:v>
      </x:c>
      <x:c r="J38" s="52" t="s">
        <x:v>42</x:v>
      </x:c>
      <x:c r="K38" s="60" t="s">
        <x:v>43</x:v>
      </x:c>
    </x:row>
    <x:row r="39" ht="40.5">
      <x:c r="A39" s="57" t="s">
        <x:v>251</x:v>
      </x:c>
      <x:c r="B39" s="58" t="s">
        <x:v>12</x:v>
      </x:c>
      <x:c r="C39" s="52" t="s">
        <x:v>252</x:v>
      </x:c>
      <x:c r="D39" s="59" t="s">
        <x:v>253</x:v>
      </x:c>
      <x:c r="E39" s="52" t="s">
        <x:v>254</x:v>
      </x:c>
      <x:c r="F39" s="52" t="s">
        <x:v>255</x:v>
      </x:c>
      <x:c r="G39" s="52" t="s">
        <x:v>256</x:v>
      </x:c>
      <x:c r="H39" s="52" t="s">
        <x:v>40</x:v>
      </x:c>
      <x:c r="I39" s="52" t="s">
        <x:v>41</x:v>
      </x:c>
      <x:c r="J39" s="52" t="s">
        <x:v>42</x:v>
      </x:c>
      <x:c r="K39" s="60" t="s">
        <x:v>43</x:v>
      </x:c>
    </x:row>
    <x:row r="40" ht="40.5">
      <x:c r="A40" s="57" t="s">
        <x:v>257</x:v>
      </x:c>
      <x:c r="B40" s="58" t="s">
        <x:v>12</x:v>
      </x:c>
      <x:c r="C40" s="52" t="s">
        <x:v>258</x:v>
      </x:c>
      <x:c r="D40" s="61">
        <x:v>46030</x:v>
      </x:c>
      <x:c r="E40" s="52" t="s">
        <x:v>259</x:v>
      </x:c>
      <x:c r="F40" s="52" t="s">
        <x:v>260</x:v>
      </x:c>
      <x:c r="G40" s="52" t="s">
        <x:v>261</x:v>
      </x:c>
      <x:c r="H40" s="52" t="s">
        <x:v>40</x:v>
      </x:c>
      <x:c r="I40" s="52" t="s">
        <x:v>41</x:v>
      </x:c>
      <x:c r="J40" s="52" t="s">
        <x:v>42</x:v>
      </x:c>
      <x:c r="K40" s="60" t="s">
        <x:v>43</x:v>
      </x:c>
    </x:row>
    <x:row r="41" ht="40.5">
      <x:c r="A41" s="57" t="s">
        <x:v>262</x:v>
      </x:c>
      <x:c r="B41" s="58" t="s">
        <x:v>12</x:v>
      </x:c>
      <x:c r="C41" s="52" t="s">
        <x:v>263</x:v>
      </x:c>
      <x:c r="D41" s="59" t="s">
        <x:v>264</x:v>
      </x:c>
      <x:c r="E41" s="52" t="s">
        <x:v>265</x:v>
      </x:c>
      <x:c r="F41" s="52" t="s">
        <x:v>266</x:v>
      </x:c>
      <x:c r="G41" s="52" t="s">
        <x:v>267</x:v>
      </x:c>
      <x:c r="H41" s="52" t="s">
        <x:v>40</x:v>
      </x:c>
      <x:c r="I41" s="52" t="s">
        <x:v>41</x:v>
      </x:c>
      <x:c r="J41" s="52" t="s">
        <x:v>42</x:v>
      </x:c>
      <x:c r="K41" s="60" t="s">
        <x:v>43</x:v>
      </x:c>
    </x:row>
    <x:row r="42" ht="40.5">
      <x:c r="A42" s="57" t="s">
        <x:v>268</x:v>
      </x:c>
      <x:c r="B42" s="58" t="s">
        <x:v>12</x:v>
      </x:c>
      <x:c r="C42" s="52" t="s">
        <x:v>269</x:v>
      </x:c>
      <x:c r="D42" s="61">
        <x:v>46033</x:v>
      </x:c>
      <x:c r="E42" s="52" t="s">
        <x:v>259</x:v>
      </x:c>
      <x:c r="F42" s="52" t="s">
        <x:v>270</x:v>
      </x:c>
      <x:c r="G42" s="52" t="s">
        <x:v>271</x:v>
      </x:c>
      <x:c r="H42" s="52" t="s">
        <x:v>40</x:v>
      </x:c>
      <x:c r="I42" s="52" t="s">
        <x:v>41</x:v>
      </x:c>
      <x:c r="J42" s="52" t="s">
        <x:v>42</x:v>
      </x:c>
      <x:c r="K42" s="60" t="s">
        <x:v>43</x:v>
      </x:c>
    </x:row>
    <x:row r="43" ht="40.5">
      <x:c r="A43" s="57" t="s">
        <x:v>272</x:v>
      </x:c>
      <x:c r="B43" s="58" t="s">
        <x:v>12</x:v>
      </x:c>
      <x:c r="C43" s="52" t="s">
        <x:v>273</x:v>
      </x:c>
      <x:c r="D43" s="59" t="s">
        <x:v>274</x:v>
      </x:c>
      <x:c r="E43" s="52" t="s">
        <x:v>275</x:v>
      </x:c>
      <x:c r="F43" s="52" t="s">
        <x:v>276</x:v>
      </x:c>
      <x:c r="G43" s="52" t="s">
        <x:v>277</x:v>
      </x:c>
      <x:c r="H43" s="52" t="s">
        <x:v>40</x:v>
      </x:c>
      <x:c r="I43" s="52" t="s">
        <x:v>41</x:v>
      </x:c>
      <x:c r="J43" s="52" t="s">
        <x:v>42</x:v>
      </x:c>
      <x:c r="K43" s="60" t="s">
        <x:v>43</x:v>
      </x:c>
    </x:row>
    <x:row r="44" ht="40.5">
      <x:c r="A44" s="57" t="s">
        <x:v>278</x:v>
      </x:c>
      <x:c r="B44" s="58" t="s">
        <x:v>12</x:v>
      </x:c>
      <x:c r="C44" s="52" t="s">
        <x:v>279</x:v>
      </x:c>
      <x:c r="D44" s="59" t="s">
        <x:v>280</x:v>
      </x:c>
      <x:c r="E44" s="52" t="s">
        <x:v>281</x:v>
      </x:c>
      <x:c r="F44" s="52" t="s">
        <x:v>282</x:v>
      </x:c>
      <x:c r="G44" s="52" t="s">
        <x:v>283</x:v>
      </x:c>
      <x:c r="H44" s="52" t="s">
        <x:v>40</x:v>
      </x:c>
      <x:c r="I44" s="52" t="s">
        <x:v>41</x:v>
      </x:c>
      <x:c r="J44" s="52" t="s">
        <x:v>42</x:v>
      </x:c>
      <x:c r="K44" s="60" t="s">
        <x:v>43</x:v>
      </x:c>
    </x:row>
    <x:row r="45" ht="40.5">
      <x:c r="A45" s="57" t="s">
        <x:v>284</x:v>
      </x:c>
      <x:c r="B45" s="58" t="s">
        <x:v>12</x:v>
      </x:c>
      <x:c r="C45" s="52" t="s">
        <x:v>285</x:v>
      </x:c>
      <x:c r="D45" s="61">
        <x:v>46180</x:v>
      </x:c>
      <x:c r="E45" s="52" t="s">
        <x:v>286</x:v>
      </x:c>
      <x:c r="F45" s="52" t="s">
        <x:v>287</x:v>
      </x:c>
      <x:c r="G45" s="52" t="s">
        <x:v>288</x:v>
      </x:c>
      <x:c r="H45" s="52" t="s">
        <x:v>40</x:v>
      </x:c>
      <x:c r="I45" s="52" t="s">
        <x:v>41</x:v>
      </x:c>
      <x:c r="J45" s="52" t="s">
        <x:v>42</x:v>
      </x:c>
      <x:c r="K45" s="60" t="s">
        <x:v>43</x:v>
      </x:c>
    </x:row>
    <x:row r="46" ht="40.5">
      <x:c r="A46" s="57" t="s">
        <x:v>289</x:v>
      </x:c>
      <x:c r="B46" s="58" t="s">
        <x:v>12</x:v>
      </x:c>
      <x:c r="C46" s="52" t="s">
        <x:v>290</x:v>
      </x:c>
      <x:c r="D46" s="61">
        <x:v>46024</x:v>
      </x:c>
      <x:c r="E46" s="52" t="s">
        <x:v>259</x:v>
      </x:c>
      <x:c r="F46" s="52" t="s">
        <x:v>291</x:v>
      </x:c>
      <x:c r="G46" s="52" t="s">
        <x:v>292</x:v>
      </x:c>
      <x:c r="H46" s="52" t="s">
        <x:v>40</x:v>
      </x:c>
      <x:c r="I46" s="52" t="s">
        <x:v>41</x:v>
      </x:c>
      <x:c r="J46" s="52" t="s">
        <x:v>42</x:v>
      </x:c>
      <x:c r="K46" s="60" t="s">
        <x:v>43</x:v>
      </x:c>
    </x:row>
    <x:row r="47" ht="40.5">
      <x:c r="A47" s="57" t="s">
        <x:v>293</x:v>
      </x:c>
      <x:c r="B47" s="58" t="s">
        <x:v>12</x:v>
      </x:c>
      <x:c r="C47" s="52" t="s">
        <x:v>294</x:v>
      </x:c>
      <x:c r="D47" s="61">
        <x:v>46338</x:v>
      </x:c>
      <x:c r="E47" s="52" t="s">
        <x:v>295</x:v>
      </x:c>
      <x:c r="F47" s="52" t="s">
        <x:v>296</x:v>
      </x:c>
      <x:c r="G47" s="52" t="s">
        <x:v>297</x:v>
      </x:c>
      <x:c r="H47" s="52" t="s">
        <x:v>40</x:v>
      </x:c>
      <x:c r="I47" s="52" t="s">
        <x:v>41</x:v>
      </x:c>
      <x:c r="J47" s="52" t="s">
        <x:v>42</x:v>
      </x:c>
      <x:c r="K47" s="60" t="s">
        <x:v>43</x:v>
      </x:c>
    </x:row>
    <x:row r="48" ht="40.5">
      <x:c r="A48" s="57" t="s">
        <x:v>298</x:v>
      </x:c>
      <x:c r="B48" s="58" t="s">
        <x:v>13</x:v>
      </x:c>
      <x:c r="C48" s="52" t="s">
        <x:v>299</x:v>
      </x:c>
      <x:c r="D48" s="59" t="s">
        <x:v>300</x:v>
      </x:c>
      <x:c r="E48" s="52" t="s">
        <x:v>301</x:v>
      </x:c>
      <x:c r="F48" s="52" t="s">
        <x:v>302</x:v>
      </x:c>
      <x:c r="G48" s="52" t="s">
        <x:v>303</x:v>
      </x:c>
      <x:c r="H48" s="52" t="s">
        <x:v>40</x:v>
      </x:c>
      <x:c r="I48" s="52" t="s">
        <x:v>41</x:v>
      </x:c>
      <x:c r="J48" s="52" t="s">
        <x:v>42</x:v>
      </x:c>
      <x:c r="K48" s="60" t="s">
        <x:v>43</x:v>
      </x:c>
    </x:row>
    <x:row r="49" ht="40.5">
      <x:c r="A49" s="57" t="s">
        <x:v>304</x:v>
      </x:c>
      <x:c r="B49" s="58" t="s">
        <x:v>13</x:v>
      </x:c>
      <x:c r="C49" s="52" t="s">
        <x:v>305</x:v>
      </x:c>
      <x:c r="D49" s="59" t="s">
        <x:v>306</x:v>
      </x:c>
      <x:c r="E49" s="52" t="s">
        <x:v>307</x:v>
      </x:c>
      <x:c r="F49" s="52" t="s">
        <x:v>308</x:v>
      </x:c>
      <x:c r="G49" s="52" t="s">
        <x:v>309</x:v>
      </x:c>
      <x:c r="H49" s="52" t="s">
        <x:v>40</x:v>
      </x:c>
      <x:c r="I49" s="52" t="s">
        <x:v>41</x:v>
      </x:c>
      <x:c r="J49" s="52" t="s">
        <x:v>42</x:v>
      </x:c>
      <x:c r="K49" s="60" t="s">
        <x:v>43</x:v>
      </x:c>
    </x:row>
    <x:row r="50" ht="40.5">
      <x:c r="A50" s="57" t="s">
        <x:v>310</x:v>
      </x:c>
      <x:c r="B50" s="58" t="s">
        <x:v>13</x:v>
      </x:c>
      <x:c r="C50" s="52" t="s">
        <x:v>305</x:v>
      </x:c>
      <x:c r="D50" s="59" t="s">
        <x:v>311</x:v>
      </x:c>
      <x:c r="E50" s="52" t="s">
        <x:v>312</x:v>
      </x:c>
      <x:c r="F50" s="52" t="s">
        <x:v>313</x:v>
      </x:c>
      <x:c r="G50" s="52" t="s">
        <x:v>314</x:v>
      </x:c>
      <x:c r="H50" s="52" t="s">
        <x:v>40</x:v>
      </x:c>
      <x:c r="I50" s="52" t="s">
        <x:v>41</x:v>
      </x:c>
      <x:c r="J50" s="52" t="s">
        <x:v>42</x:v>
      </x:c>
      <x:c r="K50" s="60" t="s">
        <x:v>43</x:v>
      </x:c>
    </x:row>
    <x:row r="51" ht="40.5">
      <x:c r="A51" s="57" t="s">
        <x:v>315</x:v>
      </x:c>
      <x:c r="B51" s="58" t="s">
        <x:v>13</x:v>
      </x:c>
      <x:c r="C51" s="52" t="s">
        <x:v>316</x:v>
      </x:c>
      <x:c r="D51" s="59" t="s">
        <x:v>317</x:v>
      </x:c>
      <x:c r="E51" s="52" t="s">
        <x:v>318</x:v>
      </x:c>
      <x:c r="F51" s="52" t="s">
        <x:v>319</x:v>
      </x:c>
      <x:c r="G51" s="52" t="s">
        <x:v>320</x:v>
      </x:c>
      <x:c r="H51" s="52" t="s">
        <x:v>40</x:v>
      </x:c>
      <x:c r="I51" s="52" t="s">
        <x:v>41</x:v>
      </x:c>
      <x:c r="J51" s="52" t="s">
        <x:v>42</x:v>
      </x:c>
      <x:c r="K51" s="60" t="s">
        <x:v>43</x:v>
      </x:c>
    </x:row>
    <x:row r="52" ht="40.5">
      <x:c r="A52" s="57" t="s">
        <x:v>321</x:v>
      </x:c>
      <x:c r="B52" s="58" t="s">
        <x:v>13</x:v>
      </x:c>
      <x:c r="C52" s="52" t="s">
        <x:v>322</x:v>
      </x:c>
      <x:c r="D52" s="59" t="s">
        <x:v>323</x:v>
      </x:c>
      <x:c r="E52" s="52" t="s">
        <x:v>324</x:v>
      </x:c>
      <x:c r="F52" s="52" t="s">
        <x:v>325</x:v>
      </x:c>
      <x:c r="G52" s="52" t="s">
        <x:v>326</x:v>
      </x:c>
      <x:c r="H52" s="52" t="s">
        <x:v>40</x:v>
      </x:c>
      <x:c r="I52" s="52" t="s">
        <x:v>41</x:v>
      </x:c>
      <x:c r="J52" s="52" t="s">
        <x:v>42</x:v>
      </x:c>
      <x:c r="K52" s="60" t="s">
        <x:v>43</x:v>
      </x:c>
    </x:row>
    <x:row r="53" ht="40.5">
      <x:c r="A53" s="57" t="s">
        <x:v>327</x:v>
      </x:c>
      <x:c r="B53" s="58" t="s">
        <x:v>13</x:v>
      </x:c>
      <x:c r="C53" s="52" t="s">
        <x:v>328</x:v>
      </x:c>
      <x:c r="D53" s="59" t="s">
        <x:v>329</x:v>
      </x:c>
      <x:c r="E53" s="52" t="s">
        <x:v>330</x:v>
      </x:c>
      <x:c r="F53" s="52" t="s">
        <x:v>331</x:v>
      </x:c>
      <x:c r="G53" s="52" t="s">
        <x:v>332</x:v>
      </x:c>
      <x:c r="H53" s="52" t="s">
        <x:v>40</x:v>
      </x:c>
      <x:c r="I53" s="52" t="s">
        <x:v>41</x:v>
      </x:c>
      <x:c r="J53" s="52" t="s">
        <x:v>42</x:v>
      </x:c>
      <x:c r="K53" s="60" t="s">
        <x:v>43</x:v>
      </x:c>
    </x:row>
    <x:row r="54" ht="40.5">
      <x:c r="A54" s="57" t="s">
        <x:v>333</x:v>
      </x:c>
      <x:c r="B54" s="58" t="s">
        <x:v>13</x:v>
      </x:c>
      <x:c r="C54" s="52" t="s">
        <x:v>334</x:v>
      </x:c>
      <x:c r="D54" s="59" t="s">
        <x:v>335</x:v>
      </x:c>
      <x:c r="E54" s="52" t="s">
        <x:v>336</x:v>
      </x:c>
      <x:c r="F54" s="52" t="s">
        <x:v>337</x:v>
      </x:c>
      <x:c r="G54" s="52" t="s">
        <x:v>338</x:v>
      </x:c>
      <x:c r="H54" s="52" t="s">
        <x:v>40</x:v>
      </x:c>
      <x:c r="I54" s="52" t="s">
        <x:v>41</x:v>
      </x:c>
      <x:c r="J54" s="52" t="s">
        <x:v>42</x:v>
      </x:c>
      <x:c r="K54" s="60" t="s">
        <x:v>43</x:v>
      </x:c>
    </x:row>
    <x:row r="55" ht="40.5">
      <x:c r="A55" s="57" t="s">
        <x:v>339</x:v>
      </x:c>
      <x:c r="B55" s="58" t="s">
        <x:v>13</x:v>
      </x:c>
      <x:c r="C55" s="52" t="s">
        <x:v>340</x:v>
      </x:c>
      <x:c r="D55" s="59" t="s">
        <x:v>341</x:v>
      </x:c>
      <x:c r="E55" s="52" t="s">
        <x:v>342</x:v>
      </x:c>
      <x:c r="F55" s="52" t="s">
        <x:v>343</x:v>
      </x:c>
      <x:c r="G55" s="52" t="s">
        <x:v>344</x:v>
      </x:c>
      <x:c r="H55" s="52" t="s">
        <x:v>40</x:v>
      </x:c>
      <x:c r="I55" s="52" t="s">
        <x:v>41</x:v>
      </x:c>
      <x:c r="J55" s="52" t="s">
        <x:v>42</x:v>
      </x:c>
      <x:c r="K55" s="60" t="s">
        <x:v>43</x:v>
      </x:c>
    </x:row>
    <x:row r="56" ht="40.5">
      <x:c r="A56" s="57" t="s">
        <x:v>345</x:v>
      </x:c>
      <x:c r="B56" s="58" t="s">
        <x:v>13</x:v>
      </x:c>
      <x:c r="C56" s="52" t="s">
        <x:v>346</x:v>
      </x:c>
      <x:c r="D56" s="59">
        <x:v>14</x:v>
      </x:c>
      <x:c r="E56" s="52" t="s">
        <x:v>347</x:v>
      </x:c>
      <x:c r="F56" s="52" t="s">
        <x:v>325</x:v>
      </x:c>
      <x:c r="G56" s="52" t="s">
        <x:v>348</x:v>
      </x:c>
      <x:c r="H56" s="52" t="s">
        <x:v>40</x:v>
      </x:c>
      <x:c r="I56" s="52" t="s">
        <x:v>41</x:v>
      </x:c>
      <x:c r="J56" s="52" t="s">
        <x:v>42</x:v>
      </x:c>
      <x:c r="K56" s="60" t="s">
        <x:v>43</x:v>
      </x:c>
    </x:row>
    <x:row r="57" ht="40.5">
      <x:c r="A57" s="57" t="s">
        <x:v>349</x:v>
      </x:c>
      <x:c r="B57" s="58" t="s">
        <x:v>13</x:v>
      </x:c>
      <x:c r="C57" s="52" t="s">
        <x:v>350</x:v>
      </x:c>
      <x:c r="D57" s="59">
        <x:v>19</x:v>
      </x:c>
      <x:c r="E57" s="52" t="s">
        <x:v>351</x:v>
      </x:c>
      <x:c r="F57" s="52" t="s">
        <x:v>352</x:v>
      </x:c>
      <x:c r="G57" s="52" t="s">
        <x:v>353</x:v>
      </x:c>
      <x:c r="H57" s="52" t="s">
        <x:v>40</x:v>
      </x:c>
      <x:c r="I57" s="52" t="s">
        <x:v>41</x:v>
      </x:c>
      <x:c r="J57" s="52" t="s">
        <x:v>42</x:v>
      </x:c>
      <x:c r="K57" s="60" t="s">
        <x:v>43</x:v>
      </x:c>
    </x:row>
    <x:row r="58" ht="40.5">
      <x:c r="A58" s="57" t="s">
        <x:v>354</x:v>
      </x:c>
      <x:c r="B58" s="58" t="s">
        <x:v>13</x:v>
      </x:c>
      <x:c r="C58" s="52" t="s">
        <x:v>355</x:v>
      </x:c>
      <x:c r="D58" s="59" t="s">
        <x:v>356</x:v>
      </x:c>
      <x:c r="E58" s="52" t="s">
        <x:v>357</x:v>
      </x:c>
      <x:c r="F58" s="52" t="s">
        <x:v>343</x:v>
      </x:c>
      <x:c r="G58" s="52" t="s">
        <x:v>358</x:v>
      </x:c>
      <x:c r="H58" s="52" t="s">
        <x:v>40</x:v>
      </x:c>
      <x:c r="I58" s="52" t="s">
        <x:v>41</x:v>
      </x:c>
      <x:c r="J58" s="52" t="s">
        <x:v>42</x:v>
      </x:c>
      <x:c r="K58" s="60" t="s">
        <x:v>43</x:v>
      </x:c>
    </x:row>
    <x:row r="59" ht="40.5">
      <x:c r="A59" s="57" t="s">
        <x:v>359</x:v>
      </x:c>
      <x:c r="B59" s="58" t="s">
        <x:v>13</x:v>
      </x:c>
      <x:c r="C59" s="52" t="s">
        <x:v>360</x:v>
      </x:c>
      <x:c r="D59" s="59">
        <x:v>14</x:v>
      </x:c>
      <x:c r="E59" s="52" t="s">
        <x:v>361</x:v>
      </x:c>
      <x:c r="F59" s="52" t="s">
        <x:v>325</x:v>
      </x:c>
      <x:c r="G59" s="52" t="s">
        <x:v>362</x:v>
      </x:c>
      <x:c r="H59" s="52" t="s">
        <x:v>40</x:v>
      </x:c>
      <x:c r="I59" s="52" t="s">
        <x:v>41</x:v>
      </x:c>
      <x:c r="J59" s="52" t="s">
        <x:v>42</x:v>
      </x:c>
      <x:c r="K59" s="60" t="s">
        <x:v>43</x:v>
      </x:c>
    </x:row>
    <x:row r="60" ht="40.5">
      <x:c r="A60" s="57" t="s">
        <x:v>363</x:v>
      </x:c>
      <x:c r="B60" s="58" t="s">
        <x:v>13</x:v>
      </x:c>
      <x:c r="C60" s="52" t="s">
        <x:v>364</x:v>
      </x:c>
      <x:c r="D60" s="59">
        <x:v>19</x:v>
      </x:c>
      <x:c r="E60" s="52" t="s">
        <x:v>365</x:v>
      </x:c>
      <x:c r="F60" s="52" t="s">
        <x:v>352</x:v>
      </x:c>
      <x:c r="G60" s="52" t="s">
        <x:v>362</x:v>
      </x:c>
      <x:c r="H60" s="52" t="s">
        <x:v>40</x:v>
      </x:c>
      <x:c r="I60" s="52" t="s">
        <x:v>41</x:v>
      </x:c>
      <x:c r="J60" s="52" t="s">
        <x:v>42</x:v>
      </x:c>
      <x:c r="K60" s="60" t="s">
        <x:v>43</x:v>
      </x:c>
    </x:row>
    <x:row r="61" ht="40.5">
      <x:c r="A61" s="57" t="s">
        <x:v>366</x:v>
      </x:c>
      <x:c r="B61" s="58" t="s">
        <x:v>14</x:v>
      </x:c>
      <x:c r="C61" s="52" t="s">
        <x:v>367</x:v>
      </x:c>
      <x:c r="D61" s="59" t="s">
        <x:v>368</x:v>
      </x:c>
      <x:c r="E61" s="52" t="s">
        <x:v>369</x:v>
      </x:c>
      <x:c r="F61" s="52" t="s">
        <x:v>370</x:v>
      </x:c>
      <x:c r="G61" s="52" t="s">
        <x:v>371</x:v>
      </x:c>
      <x:c r="H61" s="52" t="s">
        <x:v>372</x:v>
      </x:c>
      <x:c r="I61" s="52" t="s">
        <x:v>41</x:v>
      </x:c>
      <x:c r="J61" s="52" t="s">
        <x:v>66</x:v>
      </x:c>
      <x:c r="K61" s="60" t="s">
        <x:v>373</x:v>
      </x:c>
    </x:row>
    <x:row r="62" ht="40.5">
      <x:c r="A62" s="57" t="s">
        <x:v>374</x:v>
      </x:c>
      <x:c r="B62" s="58" t="s">
        <x:v>14</x:v>
      </x:c>
      <x:c r="C62" s="52" t="s">
        <x:v>367</x:v>
      </x:c>
      <x:c r="D62" s="59">
        <x:v>155</x:v>
      </x:c>
      <x:c r="E62" s="52" t="s">
        <x:v>375</x:v>
      </x:c>
      <x:c r="F62" s="52" t="s">
        <x:v>376</x:v>
      </x:c>
      <x:c r="G62" s="52" t="s">
        <x:v>377</x:v>
      </x:c>
      <x:c r="H62" s="52" t="s">
        <x:v>372</x:v>
      </x:c>
      <x:c r="I62" s="52" t="s">
        <x:v>41</x:v>
      </x:c>
      <x:c r="J62" s="52" t="s">
        <x:v>66</x:v>
      </x:c>
      <x:c r="K62" s="60" t="s">
        <x:v>373</x:v>
      </x:c>
    </x:row>
    <x:row r="63" ht="40.5">
      <x:c r="A63" s="57" t="s">
        <x:v>378</x:v>
      </x:c>
      <x:c r="B63" s="58" t="s">
        <x:v>14</x:v>
      </x:c>
      <x:c r="C63" s="52" t="s">
        <x:v>367</x:v>
      </x:c>
      <x:c r="D63" s="59" t="s">
        <x:v>379</x:v>
      </x:c>
      <x:c r="E63" s="52" t="s">
        <x:v>380</x:v>
      </x:c>
      <x:c r="F63" s="52" t="s">
        <x:v>381</x:v>
      </x:c>
      <x:c r="G63" s="52" t="s">
        <x:v>382</x:v>
      </x:c>
      <x:c r="H63" s="52" t="s">
        <x:v>372</x:v>
      </x:c>
      <x:c r="I63" s="52" t="s">
        <x:v>41</x:v>
      </x:c>
      <x:c r="J63" s="52" t="s">
        <x:v>66</x:v>
      </x:c>
      <x:c r="K63" s="60" t="s">
        <x:v>373</x:v>
      </x:c>
    </x:row>
    <x:row r="64" ht="40.5">
      <x:c r="A64" s="57" t="s">
        <x:v>383</x:v>
      </x:c>
      <x:c r="B64" s="58" t="s">
        <x:v>14</x:v>
      </x:c>
      <x:c r="C64" s="52" t="s">
        <x:v>367</x:v>
      </x:c>
      <x:c r="D64" s="59" t="s">
        <x:v>384</x:v>
      </x:c>
      <x:c r="E64" s="52" t="s">
        <x:v>385</x:v>
      </x:c>
      <x:c r="F64" s="52" t="s">
        <x:v>386</x:v>
      </x:c>
      <x:c r="G64" s="52" t="s">
        <x:v>387</x:v>
      </x:c>
      <x:c r="H64" s="52" t="s">
        <x:v>372</x:v>
      </x:c>
      <x:c r="I64" s="52" t="s">
        <x:v>41</x:v>
      </x:c>
      <x:c r="J64" s="52" t="s">
        <x:v>66</x:v>
      </x:c>
      <x:c r="K64" s="60" t="s">
        <x:v>373</x:v>
      </x:c>
    </x:row>
    <x:row r="65" ht="40.5">
      <x:c r="A65" s="57" t="s">
        <x:v>388</x:v>
      </x:c>
      <x:c r="B65" s="58" t="s">
        <x:v>14</x:v>
      </x:c>
      <x:c r="C65" s="52" t="s">
        <x:v>389</x:v>
      </x:c>
      <x:c r="D65" s="59" t="s">
        <x:v>390</x:v>
      </x:c>
      <x:c r="E65" s="52" t="s">
        <x:v>391</x:v>
      </x:c>
      <x:c r="F65" s="52" t="s">
        <x:v>392</x:v>
      </x:c>
      <x:c r="G65" s="52" t="s">
        <x:v>393</x:v>
      </x:c>
      <x:c r="H65" s="52" t="s">
        <x:v>372</x:v>
      </x:c>
      <x:c r="I65" s="52" t="s">
        <x:v>41</x:v>
      </x:c>
      <x:c r="J65" s="52" t="s">
        <x:v>66</x:v>
      </x:c>
      <x:c r="K65" s="60" t="s">
        <x:v>373</x:v>
      </x:c>
    </x:row>
    <x:row r="66" ht="40.5">
      <x:c r="A66" s="57" t="s">
        <x:v>394</x:v>
      </x:c>
      <x:c r="B66" s="58" t="s">
        <x:v>14</x:v>
      </x:c>
      <x:c r="C66" s="52" t="s">
        <x:v>389</x:v>
      </x:c>
      <x:c r="D66" s="59" t="s">
        <x:v>395</x:v>
      </x:c>
      <x:c r="E66" s="52" t="s">
        <x:v>396</x:v>
      </x:c>
      <x:c r="F66" s="52" t="s">
        <x:v>397</x:v>
      </x:c>
      <x:c r="G66" s="52" t="s">
        <x:v>398</x:v>
      </x:c>
      <x:c r="H66" s="52" t="s">
        <x:v>372</x:v>
      </x:c>
      <x:c r="I66" s="52" t="s">
        <x:v>41</x:v>
      </x:c>
      <x:c r="J66" s="52" t="s">
        <x:v>66</x:v>
      </x:c>
      <x:c r="K66" s="60" t="s">
        <x:v>373</x:v>
      </x:c>
    </x:row>
    <x:row r="67" ht="40.5">
      <x:c r="A67" s="57" t="s">
        <x:v>399</x:v>
      </x:c>
      <x:c r="B67" s="58" t="s">
        <x:v>14</x:v>
      </x:c>
      <x:c r="C67" s="52" t="s">
        <x:v>389</x:v>
      </x:c>
      <x:c r="D67" s="59" t="s">
        <x:v>400</x:v>
      </x:c>
      <x:c r="E67" s="52" t="s">
        <x:v>401</x:v>
      </x:c>
      <x:c r="F67" s="52" t="s">
        <x:v>402</x:v>
      </x:c>
      <x:c r="G67" s="52" t="s">
        <x:v>403</x:v>
      </x:c>
      <x:c r="H67" s="52" t="s">
        <x:v>372</x:v>
      </x:c>
      <x:c r="I67" s="52" t="s">
        <x:v>41</x:v>
      </x:c>
      <x:c r="J67" s="52" t="s">
        <x:v>66</x:v>
      </x:c>
      <x:c r="K67" s="60" t="s">
        <x:v>373</x:v>
      </x:c>
    </x:row>
    <x:row r="68" ht="40.5">
      <x:c r="A68" s="57" t="s">
        <x:v>404</x:v>
      </x:c>
      <x:c r="B68" s="58" t="s">
        <x:v>11</x:v>
      </x:c>
      <x:c r="C68" s="52" t="s">
        <x:v>35</x:v>
      </x:c>
      <x:c r="D68" s="52" t="s">
        <x:v>405</x:v>
      </x:c>
      <x:c r="E68" s="52" t="s">
        <x:v>406</x:v>
      </x:c>
      <x:c r="F68" s="52" t="s">
        <x:v>407</x:v>
      </x:c>
      <x:c r="G68" s="52" t="s">
        <x:v>408</x:v>
      </x:c>
      <x:c r="H68" s="52" t="s">
        <x:v>83</x:v>
      </x:c>
      <x:c r="I68" s="52" t="s">
        <x:v>409</x:v>
      </x:c>
      <x:c r="J68" s="52" t="s">
        <x:v>410</x:v>
      </x:c>
      <x:c r="K68" s="60" t="s">
        <x:v>85</x:v>
      </x:c>
    </x:row>
    <x:row r="69" ht="40.5">
      <x:c r="A69" s="57" t="s">
        <x:v>411</x:v>
      </x:c>
      <x:c r="B69" s="58" t="s">
        <x:v>11</x:v>
      </x:c>
      <x:c r="C69" s="52" t="s">
        <x:v>60</x:v>
      </x:c>
      <x:c r="D69" s="52" t="s">
        <x:v>412</x:v>
      </x:c>
      <x:c r="E69" s="52" t="s">
        <x:v>413</x:v>
      </x:c>
      <x:c r="F69" s="52" t="s">
        <x:v>414</x:v>
      </x:c>
      <x:c r="G69" s="52" t="s">
        <x:v>415</x:v>
      </x:c>
      <x:c r="H69" s="52" t="s">
        <x:v>83</x:v>
      </x:c>
      <x:c r="I69" s="52" t="s">
        <x:v>409</x:v>
      </x:c>
      <x:c r="J69" s="52" t="s">
        <x:v>410</x:v>
      </x:c>
      <x:c r="K69" s="60" t="s">
        <x:v>85</x:v>
      </x:c>
    </x:row>
    <x:row r="70" ht="40.5">
      <x:c r="A70" s="57" t="s">
        <x:v>416</x:v>
      </x:c>
      <x:c r="B70" s="58" t="s">
        <x:v>11</x:v>
      </x:c>
      <x:c r="C70" s="52" t="s">
        <x:v>417</x:v>
      </x:c>
      <x:c r="D70" s="52" t="s">
        <x:v>418</x:v>
      </x:c>
      <x:c r="E70" s="52" t="s">
        <x:v>419</x:v>
      </x:c>
      <x:c r="F70" s="52" t="s">
        <x:v>420</x:v>
      </x:c>
      <x:c r="G70" s="52" t="s">
        <x:v>421</x:v>
      </x:c>
      <x:c r="H70" s="52" t="s">
        <x:v>83</x:v>
      </x:c>
      <x:c r="I70" s="52" t="s">
        <x:v>409</x:v>
      </x:c>
      <x:c r="J70" s="52" t="s">
        <x:v>410</x:v>
      </x:c>
      <x:c r="K70" s="60" t="s">
        <x:v>85</x:v>
      </x:c>
    </x:row>
    <x:row r="71" ht="40.5">
      <x:c r="A71" s="57" t="s">
        <x:v>422</x:v>
      </x:c>
      <x:c r="B71" s="58" t="s">
        <x:v>11</x:v>
      </x:c>
      <x:c r="C71" s="52" t="s">
        <x:v>423</x:v>
      </x:c>
      <x:c r="D71" s="52" t="s">
        <x:v>424</x:v>
      </x:c>
      <x:c r="E71" s="52" t="s">
        <x:v>425</x:v>
      </x:c>
      <x:c r="F71" s="52" t="s">
        <x:v>426</x:v>
      </x:c>
      <x:c r="G71" s="52" t="s">
        <x:v>427</x:v>
      </x:c>
      <x:c r="H71" s="52" t="s">
        <x:v>83</x:v>
      </x:c>
      <x:c r="I71" s="52" t="s">
        <x:v>409</x:v>
      </x:c>
      <x:c r="J71" s="52" t="s">
        <x:v>410</x:v>
      </x:c>
      <x:c r="K71" s="60" t="s">
        <x:v>85</x:v>
      </x:c>
    </x:row>
    <x:row r="72" ht="40.5">
      <x:c r="A72" s="57" t="s">
        <x:v>428</x:v>
      </x:c>
      <x:c r="B72" s="58" t="s">
        <x:v>11</x:v>
      </x:c>
      <x:c r="C72" s="52" t="s">
        <x:v>429</x:v>
      </x:c>
      <x:c r="D72" s="52" t="s">
        <x:v>430</x:v>
      </x:c>
      <x:c r="E72" s="52" t="s">
        <x:v>431</x:v>
      </x:c>
      <x:c r="F72" s="52" t="s">
        <x:v>432</x:v>
      </x:c>
      <x:c r="G72" s="52" t="s">
        <x:v>433</x:v>
      </x:c>
      <x:c r="H72" s="52" t="s">
        <x:v>40</x:v>
      </x:c>
      <x:c r="I72" s="52" t="s">
        <x:v>409</x:v>
      </x:c>
      <x:c r="J72" s="52" t="s">
        <x:v>434</x:v>
      </x:c>
      <x:c r="K72" s="60" t="s">
        <x:v>43</x:v>
      </x:c>
    </x:row>
    <x:row r="73" ht="40.5">
      <x:c r="A73" s="57" t="s">
        <x:v>435</x:v>
      </x:c>
      <x:c r="B73" s="58" t="s">
        <x:v>12</x:v>
      </x:c>
      <x:c r="C73" s="52" t="s">
        <x:v>436</x:v>
      </x:c>
      <x:c r="D73" s="52" t="s">
        <x:v>437</x:v>
      </x:c>
      <x:c r="E73" s="52" t="s">
        <x:v>438</x:v>
      </x:c>
      <x:c r="F73" s="52" t="s">
        <x:v>439</x:v>
      </x:c>
      <x:c r="G73" s="52" t="s">
        <x:v>440</x:v>
      </x:c>
      <x:c r="H73" s="52" t="s">
        <x:v>40</x:v>
      </x:c>
      <x:c r="I73" s="52" t="s">
        <x:v>409</x:v>
      </x:c>
      <x:c r="J73" s="52" t="s">
        <x:v>410</x:v>
      </x:c>
      <x:c r="K73" s="60" t="s">
        <x:v>43</x:v>
      </x:c>
    </x:row>
    <x:row r="74" ht="40.5">
      <x:c r="A74" s="57" t="s">
        <x:v>441</x:v>
      </x:c>
      <x:c r="B74" s="58" t="s">
        <x:v>14</x:v>
      </x:c>
      <x:c r="C74" s="52" t="s">
        <x:v>442</x:v>
      </x:c>
      <x:c r="D74" s="52" t="s">
        <x:v>424</x:v>
      </x:c>
      <x:c r="E74" s="52" t="s">
        <x:v>443</x:v>
      </x:c>
      <x:c r="F74" s="52" t="s">
        <x:v>444</x:v>
      </x:c>
      <x:c r="G74" s="52" t="s">
        <x:v>445</x:v>
      </x:c>
      <x:c r="H74" s="52" t="s">
        <x:v>372</x:v>
      </x:c>
      <x:c r="I74" s="52" t="s">
        <x:v>409</x:v>
      </x:c>
      <x:c r="J74" s="52" t="s">
        <x:v>410</x:v>
      </x:c>
      <x:c r="K74" s="60" t="s">
        <x:v>373</x:v>
      </x:c>
    </x:row>
    <x:row r="75" ht="40.5">
      <x:c r="A75" s="57" t="s">
        <x:v>446</x:v>
      </x:c>
      <x:c r="B75" s="58" t="s">
        <x:v>11</x:v>
      </x:c>
      <x:c r="C75" s="52" t="s">
        <x:v>35</x:v>
      </x:c>
      <x:c r="D75" s="52" t="s">
        <x:v>447</x:v>
      </x:c>
      <x:c r="E75" s="52" t="s">
        <x:v>448</x:v>
      </x:c>
      <x:c r="F75" s="52" t="s">
        <x:v>449</x:v>
      </x:c>
      <x:c r="G75" s="52" t="s">
        <x:v>450</x:v>
      </x:c>
      <x:c r="H75" s="52" t="s">
        <x:v>83</x:v>
      </x:c>
      <x:c r="I75" s="52" t="s">
        <x:v>409</x:v>
      </x:c>
      <x:c r="J75" s="52" t="s">
        <x:v>410</x:v>
      </x:c>
      <x:c r="K75" s="60" t="s">
        <x:v>85</x:v>
      </x:c>
    </x:row>
    <x:row r="76" ht="40.5">
      <x:c r="A76" s="57" t="s">
        <x:v>451</x:v>
      </x:c>
      <x:c r="B76" s="58" t="s">
        <x:v>11</x:v>
      </x:c>
      <x:c r="C76" s="52" t="s">
        <x:v>60</x:v>
      </x:c>
      <x:c r="D76" s="52" t="s">
        <x:v>452</x:v>
      </x:c>
      <x:c r="E76" s="52" t="s">
        <x:v>453</x:v>
      </x:c>
      <x:c r="F76" s="52" t="s">
        <x:v>454</x:v>
      </x:c>
      <x:c r="G76" s="52" t="s">
        <x:v>455</x:v>
      </x:c>
      <x:c r="H76" s="52" t="s">
        <x:v>83</x:v>
      </x:c>
      <x:c r="I76" s="52" t="s">
        <x:v>409</x:v>
      </x:c>
      <x:c r="J76" s="52" t="s">
        <x:v>410</x:v>
      </x:c>
      <x:c r="K76" s="60" t="s">
        <x:v>85</x:v>
      </x:c>
    </x:row>
    <x:row r="77" ht="40.5">
      <x:c r="A77" s="57" t="s">
        <x:v>456</x:v>
      </x:c>
      <x:c r="B77" s="58" t="s">
        <x:v>11</x:v>
      </x:c>
      <x:c r="C77" s="52" t="s">
        <x:v>457</x:v>
      </x:c>
      <x:c r="D77" s="52" t="s">
        <x:v>458</x:v>
      </x:c>
      <x:c r="E77" s="52" t="s">
        <x:v>459</x:v>
      </x:c>
      <x:c r="F77" s="52" t="s">
        <x:v>460</x:v>
      </x:c>
      <x:c r="G77" s="52" t="s">
        <x:v>461</x:v>
      </x:c>
      <x:c r="H77" s="52" t="s">
        <x:v>83</x:v>
      </x:c>
      <x:c r="I77" s="52" t="s">
        <x:v>409</x:v>
      </x:c>
      <x:c r="J77" s="52" t="s">
        <x:v>410</x:v>
      </x:c>
      <x:c r="K77" s="60" t="s">
        <x:v>85</x:v>
      </x:c>
    </x:row>
    <x:row r="78" ht="40.5">
      <x:c r="A78" s="57" t="s">
        <x:v>462</x:v>
      </x:c>
      <x:c r="B78" s="58" t="s">
        <x:v>12</x:v>
      </x:c>
      <x:c r="C78" s="52" t="s">
        <x:v>463</x:v>
      </x:c>
      <x:c r="D78" s="52" t="s">
        <x:v>464</x:v>
      </x:c>
      <x:c r="E78" s="52" t="s">
        <x:v>465</x:v>
      </x:c>
      <x:c r="F78" s="52" t="s">
        <x:v>466</x:v>
      </x:c>
      <x:c r="G78" s="52" t="s">
        <x:v>467</x:v>
      </x:c>
      <x:c r="H78" s="52" t="s">
        <x:v>83</x:v>
      </x:c>
      <x:c r="I78" s="52" t="s">
        <x:v>409</x:v>
      </x:c>
      <x:c r="J78" s="52" t="s">
        <x:v>410</x:v>
      </x:c>
      <x:c r="K78" s="60" t="s">
        <x:v>85</x:v>
      </x:c>
    </x:row>
    <x:row r="79" ht="40.5">
      <x:c r="A79" s="57" t="s">
        <x:v>468</x:v>
      </x:c>
      <x:c r="B79" s="58" t="s">
        <x:v>14</x:v>
      </x:c>
      <x:c r="C79" s="52" t="s">
        <x:v>469</x:v>
      </x:c>
      <x:c r="D79" s="52" t="s">
        <x:v>424</x:v>
      </x:c>
      <x:c r="E79" s="52" t="s">
        <x:v>470</x:v>
      </x:c>
      <x:c r="F79" s="52" t="s">
        <x:v>471</x:v>
      </x:c>
      <x:c r="G79" s="52" t="s">
        <x:v>472</x:v>
      </x:c>
      <x:c r="H79" s="52" t="s">
        <x:v>372</x:v>
      </x:c>
      <x:c r="I79" s="52" t="s">
        <x:v>409</x:v>
      </x:c>
      <x:c r="J79" s="52" t="s">
        <x:v>410</x:v>
      </x:c>
      <x:c r="K79" s="60" t="s">
        <x:v>373</x:v>
      </x:c>
    </x:row>
    <x:row r="80" ht="40.5">
      <x:c r="A80" s="57" t="s">
        <x:v>473</x:v>
      </x:c>
      <x:c r="B80" s="58" t="s">
        <x:v>11</x:v>
      </x:c>
      <x:c r="C80" s="52" t="s">
        <x:v>35</x:v>
      </x:c>
      <x:c r="D80" s="52" t="s">
        <x:v>474</x:v>
      </x:c>
      <x:c r="E80" s="52" t="s">
        <x:v>475</x:v>
      </x:c>
      <x:c r="F80" s="52" t="s">
        <x:v>476</x:v>
      </x:c>
      <x:c r="G80" s="52" t="s">
        <x:v>477</x:v>
      </x:c>
      <x:c r="H80" s="52" t="s">
        <x:v>83</x:v>
      </x:c>
      <x:c r="I80" s="52" t="s">
        <x:v>409</x:v>
      </x:c>
      <x:c r="J80" s="52" t="s">
        <x:v>410</x:v>
      </x:c>
      <x:c r="K80" s="60" t="s">
        <x:v>85</x:v>
      </x:c>
    </x:row>
    <x:row r="81" ht="40.5">
      <x:c r="A81" s="57" t="s">
        <x:v>478</x:v>
      </x:c>
      <x:c r="B81" s="58" t="s">
        <x:v>11</x:v>
      </x:c>
      <x:c r="C81" s="52" t="s">
        <x:v>201</x:v>
      </x:c>
      <x:c r="D81" s="52" t="s">
        <x:v>479</x:v>
      </x:c>
      <x:c r="E81" s="52" t="s">
        <x:v>480</x:v>
      </x:c>
      <x:c r="F81" s="52" t="s">
        <x:v>481</x:v>
      </x:c>
      <x:c r="G81" s="52" t="s">
        <x:v>482</x:v>
      </x:c>
      <x:c r="H81" s="52" t="s">
        <x:v>83</x:v>
      </x:c>
      <x:c r="I81" s="52" t="s">
        <x:v>409</x:v>
      </x:c>
      <x:c r="J81" s="52" t="s">
        <x:v>410</x:v>
      </x:c>
      <x:c r="K81" s="60" t="s">
        <x:v>85</x:v>
      </x:c>
    </x:row>
    <x:row r="82" ht="40.5">
      <x:c r="A82" s="57" t="s">
        <x:v>483</x:v>
      </x:c>
      <x:c r="B82" s="58" t="s">
        <x:v>12</x:v>
      </x:c>
      <x:c r="C82" s="52" t="s">
        <x:v>484</x:v>
      </x:c>
      <x:c r="D82" s="52" t="s">
        <x:v>485</x:v>
      </x:c>
      <x:c r="E82" s="52" t="s">
        <x:v>486</x:v>
      </x:c>
      <x:c r="F82" s="52" t="s">
        <x:v>487</x:v>
      </x:c>
      <x:c r="G82" s="52" t="s">
        <x:v>488</x:v>
      </x:c>
      <x:c r="H82" s="52" t="s">
        <x:v>40</x:v>
      </x:c>
      <x:c r="I82" s="52" t="s">
        <x:v>409</x:v>
      </x:c>
      <x:c r="J82" s="52" t="s">
        <x:v>410</x:v>
      </x:c>
      <x:c r="K82" s="60" t="s">
        <x:v>43</x:v>
      </x:c>
    </x:row>
    <x:row r="83" ht="40.5">
      <x:c r="A83" s="57" t="s">
        <x:v>489</x:v>
      </x:c>
      <x:c r="B83" s="58" t="s">
        <x:v>14</x:v>
      </x:c>
      <x:c r="C83" s="52" t="s">
        <x:v>490</x:v>
      </x:c>
      <x:c r="D83" s="52" t="s">
        <x:v>424</x:v>
      </x:c>
      <x:c r="E83" s="52" t="s">
        <x:v>491</x:v>
      </x:c>
      <x:c r="F83" s="52" t="s">
        <x:v>492</x:v>
      </x:c>
      <x:c r="G83" s="52" t="s">
        <x:v>493</x:v>
      </x:c>
      <x:c r="H83" s="52" t="s">
        <x:v>372</x:v>
      </x:c>
      <x:c r="I83" s="52" t="s">
        <x:v>409</x:v>
      </x:c>
      <x:c r="J83" s="52" t="s">
        <x:v>410</x:v>
      </x:c>
      <x:c r="K83" s="60" t="s">
        <x:v>373</x:v>
      </x:c>
    </x:row>
    <x:row r="84" ht="40.5">
      <x:c r="A84" s="57" t="s">
        <x:v>494</x:v>
      </x:c>
      <x:c r="B84" s="58" t="s">
        <x:v>17</x:v>
      </x:c>
      <x:c r="C84" s="52" t="s">
        <x:v>495</x:v>
      </x:c>
      <x:c r="D84" s="52" t="s">
        <x:v>496</x:v>
      </x:c>
      <x:c r="E84" s="52" t="s">
        <x:v>497</x:v>
      </x:c>
      <x:c r="F84" s="52" t="s">
        <x:v>498</x:v>
      </x:c>
      <x:c r="G84" s="52" t="s">
        <x:v>499</x:v>
      </x:c>
      <x:c r="H84" s="52" t="s">
        <x:v>372</x:v>
      </x:c>
      <x:c r="I84" s="52" t="s">
        <x:v>500</x:v>
      </x:c>
      <x:c r="J84" s="52" t="s">
        <x:v>501</x:v>
      </x:c>
      <x:c r="K84" s="60" t="s">
        <x:v>373</x:v>
      </x:c>
    </x:row>
    <x:row r="85" ht="40.5">
      <x:c r="A85" s="57" t="s">
        <x:v>502</x:v>
      </x:c>
      <x:c r="B85" s="58" t="s">
        <x:v>15</x:v>
      </x:c>
      <x:c r="C85" s="52" t="s">
        <x:v>503</x:v>
      </x:c>
      <x:c r="D85" s="52" t="s">
        <x:v>504</x:v>
      </x:c>
      <x:c r="E85" s="52" t="s">
        <x:v>505</x:v>
      </x:c>
      <x:c r="F85" s="52" t="s">
        <x:v>506</x:v>
      </x:c>
      <x:c r="G85" s="52" t="s">
        <x:v>507</x:v>
      </x:c>
      <x:c r="H85" s="52" t="s">
        <x:v>83</x:v>
      </x:c>
      <x:c r="I85" s="52" t="s">
        <x:v>500</x:v>
      </x:c>
      <x:c r="J85" s="52" t="s">
        <x:v>501</x:v>
      </x:c>
      <x:c r="K85" s="60" t="s">
        <x:v>85</x:v>
      </x:c>
    </x:row>
    <x:row r="86" ht="40.5">
      <x:c r="A86" s="57" t="s">
        <x:v>508</x:v>
      </x:c>
      <x:c r="B86" s="58" t="s">
        <x:v>11</x:v>
      </x:c>
      <x:c r="C86" s="52" t="s">
        <x:v>509</x:v>
      </x:c>
      <x:c r="D86" s="52" t="s">
        <x:v>510</x:v>
      </x:c>
      <x:c r="E86" s="52" t="s">
        <x:v>511</x:v>
      </x:c>
      <x:c r="F86" s="52" t="s">
        <x:v>512</x:v>
      </x:c>
      <x:c r="G86" s="52" t="s">
        <x:v>513</x:v>
      </x:c>
      <x:c r="H86" s="52" t="s">
        <x:v>83</x:v>
      </x:c>
      <x:c r="I86" s="52" t="s">
        <x:v>500</x:v>
      </x:c>
      <x:c r="J86" s="52" t="s">
        <x:v>501</x:v>
      </x:c>
      <x:c r="K86" s="60" t="s">
        <x:v>85</x:v>
      </x:c>
    </x:row>
    <x:row r="87" ht="40.5">
      <x:c r="A87" s="57" t="s">
        <x:v>514</x:v>
      </x:c>
      <x:c r="B87" s="58" t="s">
        <x:v>16</x:v>
      </x:c>
      <x:c r="C87" s="52" t="s">
        <x:v>515</x:v>
      </x:c>
      <x:c r="D87" s="52" t="s">
        <x:v>516</x:v>
      </x:c>
      <x:c r="E87" s="52" t="s">
        <x:v>517</x:v>
      </x:c>
      <x:c r="F87" s="52" t="s">
        <x:v>518</x:v>
      </x:c>
      <x:c r="G87" s="52" t="s">
        <x:v>519</x:v>
      </x:c>
      <x:c r="H87" s="52" t="s">
        <x:v>83</x:v>
      </x:c>
      <x:c r="I87" s="52" t="s">
        <x:v>500</x:v>
      </x:c>
      <x:c r="J87" s="52" t="s">
        <x:v>501</x:v>
      </x:c>
      <x:c r="K87" s="60" t="s">
        <x:v>85</x:v>
      </x:c>
    </x:row>
    <x:row r="88" ht="40.5">
      <x:c r="A88" s="57" t="s">
        <x:v>520</x:v>
      </x:c>
      <x:c r="B88" s="58" t="s">
        <x:v>11</x:v>
      </x:c>
      <x:c r="C88" s="52" t="s">
        <x:v>60</x:v>
      </x:c>
      <x:c r="D88" s="52" t="s">
        <x:v>521</x:v>
      </x:c>
      <x:c r="E88" s="52" t="s">
        <x:v>522</x:v>
      </x:c>
      <x:c r="F88" s="52" t="s">
        <x:v>523</x:v>
      </x:c>
      <x:c r="G88" s="52" t="s">
        <x:v>524</x:v>
      </x:c>
      <x:c r="H88" s="52" t="s">
        <x:v>83</x:v>
      </x:c>
      <x:c r="I88" s="52" t="s">
        <x:v>525</x:v>
      </x:c>
      <x:c r="J88" s="52" t="s">
        <x:v>526</x:v>
      </x:c>
      <x:c r="K88" s="60" t="s">
        <x:v>85</x:v>
      </x:c>
    </x:row>
    <x:row r="89" ht="40.5">
      <x:c r="A89" s="57" t="s">
        <x:v>527</x:v>
      </x:c>
      <x:c r="B89" s="58" t="s">
        <x:v>16</x:v>
      </x:c>
      <x:c r="C89" s="52" t="s">
        <x:v>104</x:v>
      </x:c>
      <x:c r="D89" s="52" t="s">
        <x:v>528</x:v>
      </x:c>
      <x:c r="E89" s="52" t="s">
        <x:v>529</x:v>
      </x:c>
      <x:c r="F89" s="52" t="s">
        <x:v>530</x:v>
      </x:c>
      <x:c r="G89" s="52" t="s">
        <x:v>531</x:v>
      </x:c>
      <x:c r="H89" s="52" t="s">
        <x:v>83</x:v>
      </x:c>
      <x:c r="I89" s="52" t="s">
        <x:v>525</x:v>
      </x:c>
      <x:c r="J89" s="52" t="s">
        <x:v>532</x:v>
      </x:c>
      <x:c r="K89" s="60" t="s">
        <x:v>85</x:v>
      </x:c>
    </x:row>
    <x:row r="90" ht="27">
      <x:c r="A90" s="57" t="s">
        <x:v>533</x:v>
      </x:c>
      <x:c r="B90" s="58" t="s">
        <x:v>11</x:v>
      </x:c>
      <x:c r="C90" s="52" t="s">
        <x:v>534</x:v>
      </x:c>
      <x:c r="D90" s="52" t="s">
        <x:v>535</x:v>
      </x:c>
      <x:c r="E90" s="52" t="s">
        <x:v>536</x:v>
      </x:c>
      <x:c r="F90" s="52" t="s">
        <x:v>537</x:v>
      </x:c>
      <x:c r="G90" s="52" t="s">
        <x:v>538</x:v>
      </x:c>
      <x:c r="H90" s="52" t="s">
        <x:v>65</x:v>
      </x:c>
      <x:c r="I90" s="52" t="s">
        <x:v>525</x:v>
      </x:c>
      <x:c r="J90" s="52" t="s">
        <x:v>526</x:v>
      </x:c>
      <x:c r="K90" s="60" t="s">
        <x:v>67</x:v>
      </x:c>
    </x:row>
    <x:row r="91" ht="40.5">
      <x:c r="A91" s="57" t="s">
        <x:v>539</x:v>
      </x:c>
      <x:c r="B91" s="58" t="s">
        <x:v>14</x:v>
      </x:c>
      <x:c r="C91" s="52" t="s">
        <x:v>540</x:v>
      </x:c>
      <x:c r="D91" s="52" t="s">
        <x:v>541</x:v>
      </x:c>
      <x:c r="E91" s="52" t="s">
        <x:v>542</x:v>
      </x:c>
      <x:c r="F91" s="52" t="s">
        <x:v>543</x:v>
      </x:c>
      <x:c r="G91" s="52" t="s">
        <x:v>544</x:v>
      </x:c>
      <x:c r="H91" s="52" t="s">
        <x:v>372</x:v>
      </x:c>
      <x:c r="I91" s="52" t="s">
        <x:v>525</x:v>
      </x:c>
      <x:c r="J91" s="52" t="s">
        <x:v>526</x:v>
      </x:c>
      <x:c r="K91" s="60" t="s">
        <x:v>373</x:v>
      </x:c>
    </x:row>
    <x:row r="92" ht="40.5">
      <x:c r="A92" s="57" t="s">
        <x:v>545</x:v>
      </x:c>
      <x:c r="B92" s="58" t="s">
        <x:v>11</x:v>
      </x:c>
      <x:c r="C92" s="52" t="s">
        <x:v>35</x:v>
      </x:c>
      <x:c r="D92" s="52" t="s">
        <x:v>546</x:v>
      </x:c>
      <x:c r="E92" s="52" t="s">
        <x:v>547</x:v>
      </x:c>
      <x:c r="F92" s="52" t="s">
        <x:v>548</x:v>
      </x:c>
      <x:c r="G92" s="52" t="s">
        <x:v>549</x:v>
      </x:c>
      <x:c r="H92" s="52" t="s">
        <x:v>83</x:v>
      </x:c>
      <x:c r="I92" s="52" t="s">
        <x:v>550</x:v>
      </x:c>
      <x:c r="J92" s="52" t="s">
        <x:v>551</x:v>
      </x:c>
      <x:c r="K92" s="60" t="s">
        <x:v>85</x:v>
      </x:c>
    </x:row>
    <x:row r="93" ht="40.5">
      <x:c r="A93" s="57" t="s">
        <x:v>552</x:v>
      </x:c>
      <x:c r="B93" s="58" t="s">
        <x:v>18</x:v>
      </x:c>
      <x:c r="C93" s="52" t="s">
        <x:v>553</x:v>
      </x:c>
      <x:c r="D93" s="52" t="s">
        <x:v>554</x:v>
      </x:c>
      <x:c r="E93" s="52" t="s">
        <x:v>555</x:v>
      </x:c>
      <x:c r="F93" s="52" t="s">
        <x:v>556</x:v>
      </x:c>
      <x:c r="G93" s="52" t="s">
        <x:v>557</x:v>
      </x:c>
      <x:c r="H93" s="52" t="s">
        <x:v>83</x:v>
      </x:c>
      <x:c r="I93" s="52" t="s">
        <x:v>550</x:v>
      </x:c>
      <x:c r="J93" s="52" t="s">
        <x:v>551</x:v>
      </x:c>
      <x:c r="K93" s="60" t="s">
        <x:v>85</x:v>
      </x:c>
    </x:row>
    <x:row r="94" ht="40.5">
      <x:c r="A94" s="57" t="s">
        <x:v>558</x:v>
      </x:c>
      <x:c r="B94" s="58" t="s">
        <x:v>16</x:v>
      </x:c>
      <x:c r="C94" s="52" t="s">
        <x:v>104</x:v>
      </x:c>
      <x:c r="D94" s="52" t="s">
        <x:v>559</x:v>
      </x:c>
      <x:c r="E94" s="52" t="s">
        <x:v>560</x:v>
      </x:c>
      <x:c r="F94" s="52" t="s">
        <x:v>561</x:v>
      </x:c>
      <x:c r="G94" s="52" t="s">
        <x:v>562</x:v>
      </x:c>
      <x:c r="H94" s="52" t="s">
        <x:v>83</x:v>
      </x:c>
      <x:c r="I94" s="52" t="s">
        <x:v>550</x:v>
      </x:c>
      <x:c r="J94" s="52" t="s">
        <x:v>563</x:v>
      </x:c>
      <x:c r="K94" s="60" t="s">
        <x:v>85</x:v>
      </x:c>
    </x:row>
    <x:row r="95" ht="40.5">
      <x:c r="A95" s="57" t="s">
        <x:v>564</x:v>
      </x:c>
      <x:c r="B95" s="58" t="s">
        <x:v>11</x:v>
      </x:c>
      <x:c r="C95" s="52" t="s">
        <x:v>60</x:v>
      </x:c>
      <x:c r="D95" s="52" t="s">
        <x:v>565</x:v>
      </x:c>
      <x:c r="E95" s="52" t="s">
        <x:v>566</x:v>
      </x:c>
      <x:c r="F95" s="52" t="s">
        <x:v>567</x:v>
      </x:c>
      <x:c r="G95" s="52" t="s">
        <x:v>568</x:v>
      </x:c>
      <x:c r="H95" s="52" t="s">
        <x:v>83</x:v>
      </x:c>
      <x:c r="I95" s="52" t="s">
        <x:v>550</x:v>
      </x:c>
      <x:c r="J95" s="52" t="s">
        <x:v>563</x:v>
      </x:c>
      <x:c r="K95" s="60" t="s">
        <x:v>85</x:v>
      </x:c>
    </x:row>
    <x:row r="96" ht="40.5">
      <x:c r="A96" s="57" t="s">
        <x:v>569</x:v>
      </x:c>
      <x:c r="B96" s="58" t="s">
        <x:v>11</x:v>
      </x:c>
      <x:c r="C96" s="52" t="s">
        <x:v>570</x:v>
      </x:c>
      <x:c r="D96" s="52" t="s">
        <x:v>571</x:v>
      </x:c>
      <x:c r="E96" s="52" t="s">
        <x:v>572</x:v>
      </x:c>
      <x:c r="F96" s="52" t="s">
        <x:v>573</x:v>
      </x:c>
      <x:c r="G96" s="52" t="s">
        <x:v>574</x:v>
      </x:c>
      <x:c r="H96" s="52" t="s">
        <x:v>83</x:v>
      </x:c>
      <x:c r="I96" s="52" t="s">
        <x:v>550</x:v>
      </x:c>
      <x:c r="J96" s="52" t="s">
        <x:v>551</x:v>
      </x:c>
      <x:c r="K96" s="60" t="s">
        <x:v>85</x:v>
      </x:c>
    </x:row>
    <x:row r="97" ht="40.5">
      <x:c r="A97" s="63" t="s">
        <x:v>575</x:v>
      </x:c>
      <x:c r="B97" s="64" t="s">
        <x:v>17</x:v>
      </x:c>
      <x:c r="C97" s="55" t="s">
        <x:v>576</x:v>
      </x:c>
      <x:c r="D97" s="55" t="s">
        <x:v>577</x:v>
      </x:c>
      <x:c r="E97" s="55" t="s">
        <x:v>578</x:v>
      </x:c>
      <x:c r="F97" s="55" t="s">
        <x:v>579</x:v>
      </x:c>
      <x:c r="G97" s="55" t="s">
        <x:v>580</x:v>
      </x:c>
      <x:c r="H97" s="55" t="s">
        <x:v>372</x:v>
      </x:c>
      <x:c r="I97" s="55" t="s">
        <x:v>550</x:v>
      </x:c>
      <x:c r="J97" s="55" t="s">
        <x:v>551</x:v>
      </x:c>
      <x:c r="K97" s="65" t="s">
        <x:v>373</x:v>
      </x:c>
    </x:row>
    <x:row r="98">
      <x:c r="A98" s="72" t="s">
        <x:v>581</x:v>
      </x:c>
      <x:c r="B98" s="73" t="s">
        <x:v>18</x:v>
      </x:c>
      <x:c r="C98" s="67" t="s">
        <x:v>582</x:v>
      </x:c>
      <x:c r="D98" s="67" t="s">
        <x:v>583</x:v>
      </x:c>
      <x:c r="E98" s="67" t="s">
        <x:v>584</x:v>
      </x:c>
      <x:c r="F98" s="67" t="s">
        <x:v>585</x:v>
      </x:c>
      <x:c r="G98" s="67" t="s">
        <x:v>586</x:v>
      </x:c>
      <x:c r="H98" s="67" t="s">
        <x:v>83</x:v>
      </x:c>
      <x:c r="I98" s="67" t="s">
        <x:v>587</x:v>
      </x:c>
      <x:c r="J98" s="67" t="s">
        <x:v>588</x:v>
      </x:c>
      <x:c r="K98" s="74" t="s">
        <x:v>589</x:v>
      </x:c>
    </x:row>
    <x:row r="99">
      <x:c r="A99" s="72" t="s">
        <x:v>590</x:v>
      </x:c>
      <x:c r="B99" s="73" t="s">
        <x:v>11</x:v>
      </x:c>
      <x:c r="C99" s="67" t="s">
        <x:v>35</x:v>
      </x:c>
      <x:c r="D99" s="67" t="s">
        <x:v>591</x:v>
      </x:c>
      <x:c r="E99" s="67" t="s">
        <x:v>592</x:v>
      </x:c>
      <x:c r="F99" s="67" t="s">
        <x:v>593</x:v>
      </x:c>
      <x:c r="G99" s="67" t="s">
        <x:v>594</x:v>
      </x:c>
      <x:c r="H99" s="67" t="s">
        <x:v>83</x:v>
      </x:c>
      <x:c r="I99" s="67" t="s">
        <x:v>587</x:v>
      </x:c>
      <x:c r="J99" s="67" t="s">
        <x:v>595</x:v>
      </x:c>
      <x:c r="K99" s="74" t="s">
        <x:v>596</x:v>
      </x:c>
    </x:row>
    <x:row r="100">
      <x:c r="A100" s="72" t="s">
        <x:v>597</x:v>
      </x:c>
      <x:c r="B100" s="73" t="s">
        <x:v>11</x:v>
      </x:c>
      <x:c r="C100" s="67" t="s">
        <x:v>35</x:v>
      </x:c>
      <x:c r="D100" s="67" t="s">
        <x:v>598</x:v>
      </x:c>
      <x:c r="E100" s="67" t="s">
        <x:v>599</x:v>
      </x:c>
      <x:c r="F100" s="67" t="s">
        <x:v>600</x:v>
      </x:c>
      <x:c r="G100" s="67" t="s">
        <x:v>601</x:v>
      </x:c>
      <x:c r="H100" s="67" t="s">
        <x:v>83</x:v>
      </x:c>
      <x:c r="I100" s="67" t="s">
        <x:v>587</x:v>
      </x:c>
      <x:c r="J100" s="67" t="s">
        <x:v>602</x:v>
      </x:c>
      <x:c r="K100" s="74" t="s">
        <x:v>603</x:v>
      </x:c>
    </x:row>
    <x:row r="101">
      <x:c r="A101" s="72" t="s">
        <x:v>604</x:v>
      </x:c>
      <x:c r="B101" s="73" t="s">
        <x:v>16</x:v>
      </x:c>
      <x:c r="C101" s="67" t="s">
        <x:v>104</x:v>
      </x:c>
      <x:c r="D101" s="67" t="s">
        <x:v>605</x:v>
      </x:c>
      <x:c r="E101" s="67" t="s">
        <x:v>606</x:v>
      </x:c>
      <x:c r="F101" s="67" t="s">
        <x:v>607</x:v>
      </x:c>
      <x:c r="G101" s="67" t="s">
        <x:v>608</x:v>
      </x:c>
      <x:c r="H101" s="67" t="s">
        <x:v>65</x:v>
      </x:c>
      <x:c r="I101" s="67" t="s">
        <x:v>587</x:v>
      </x:c>
      <x:c r="J101" s="67" t="s">
        <x:v>609</x:v>
      </x:c>
      <x:c r="K101" s="74" t="s">
        <x:v>610</x:v>
      </x:c>
    </x:row>
    <x:row r="102">
      <x:c r="A102" s="72" t="s">
        <x:v>611</x:v>
      </x:c>
      <x:c r="B102" s="73" t="s">
        <x:v>11</x:v>
      </x:c>
      <x:c r="C102" s="67" t="s">
        <x:v>60</x:v>
      </x:c>
      <x:c r="D102" s="67" t="s">
        <x:v>612</x:v>
      </x:c>
      <x:c r="E102" s="67" t="s">
        <x:v>613</x:v>
      </x:c>
      <x:c r="F102" s="67" t="s">
        <x:v>614</x:v>
      </x:c>
      <x:c r="G102" s="67" t="s">
        <x:v>615</x:v>
      </x:c>
      <x:c r="H102" s="67" t="s">
        <x:v>83</x:v>
      </x:c>
      <x:c r="I102" s="67" t="s">
        <x:v>587</x:v>
      </x:c>
      <x:c r="J102" s="67" t="s">
        <x:v>616</x:v>
      </x:c>
      <x:c r="K102" s="74" t="s">
        <x:v>617</x:v>
      </x:c>
    </x:row>
    <x:row r="103">
      <x:c r="A103" s="72" t="s">
        <x:v>618</x:v>
      </x:c>
      <x:c r="B103" s="73" t="s">
        <x:v>11</x:v>
      </x:c>
      <x:c r="C103" s="67" t="s">
        <x:v>619</x:v>
      </x:c>
      <x:c r="D103" s="67" t="s">
        <x:v>620</x:v>
      </x:c>
      <x:c r="E103" s="67" t="s">
        <x:v>621</x:v>
      </x:c>
      <x:c r="F103" s="67" t="s">
        <x:v>622</x:v>
      </x:c>
      <x:c r="G103" s="67" t="s">
        <x:v>623</x:v>
      </x:c>
      <x:c r="H103" s="67" t="s">
        <x:v>65</x:v>
      </x:c>
      <x:c r="I103" s="67" t="s">
        <x:v>587</x:v>
      </x:c>
      <x:c r="J103" s="67" t="s">
        <x:v>624</x:v>
      </x:c>
      <x:c r="K103" s="74" t="s">
        <x:v>625</x:v>
      </x:c>
    </x:row>
    <x:row r="104">
      <x:c r="A104" s="72" t="s">
        <x:v>626</x:v>
      </x:c>
      <x:c r="B104" s="73" t="s">
        <x:v>11</x:v>
      </x:c>
      <x:c r="C104" s="67" t="s">
        <x:v>627</x:v>
      </x:c>
      <x:c r="D104" s="67" t="s">
        <x:v>628</x:v>
      </x:c>
      <x:c r="E104" s="67" t="s">
        <x:v>629</x:v>
      </x:c>
      <x:c r="F104" s="67" t="s">
        <x:v>630</x:v>
      </x:c>
      <x:c r="G104" s="67" t="s">
        <x:v>631</x:v>
      </x:c>
      <x:c r="H104" s="67" t="s">
        <x:v>83</x:v>
      </x:c>
      <x:c r="I104" s="67" t="s">
        <x:v>587</x:v>
      </x:c>
      <x:c r="J104" s="67" t="s">
        <x:v>632</x:v>
      </x:c>
      <x:c r="K104" s="74" t="s">
        <x:v>633</x:v>
      </x:c>
    </x:row>
    <x:row r="105">
      <x:c r="A105" s="72" t="s">
        <x:v>634</x:v>
      </x:c>
      <x:c r="B105" s="73" t="s">
        <x:v>11</x:v>
      </x:c>
      <x:c r="C105" s="67" t="s">
        <x:v>635</x:v>
      </x:c>
      <x:c r="D105" s="67" t="s">
        <x:v>636</x:v>
      </x:c>
      <x:c r="E105" s="67" t="s">
        <x:v>637</x:v>
      </x:c>
      <x:c r="F105" s="67" t="s">
        <x:v>638</x:v>
      </x:c>
      <x:c r="G105" s="67" t="s">
        <x:v>639</x:v>
      </x:c>
      <x:c r="H105" s="67" t="s">
        <x:v>83</x:v>
      </x:c>
      <x:c r="I105" s="67" t="s">
        <x:v>587</x:v>
      </x:c>
      <x:c r="J105" s="67" t="s">
        <x:v>640</x:v>
      </x:c>
      <x:c r="K105" s="74" t="s">
        <x:v>641</x:v>
      </x:c>
    </x:row>
    <x:row r="106">
      <x:c r="A106" s="75" t="s">
        <x:v>642</x:v>
      </x:c>
      <x:c r="B106" s="76" t="s">
        <x:v>17</x:v>
      </x:c>
      <x:c r="C106" s="69" t="s">
        <x:v>643</x:v>
      </x:c>
      <x:c r="D106" s="69" t="s">
        <x:v>644</x:v>
      </x:c>
      <x:c r="E106" s="69" t="s">
        <x:v>645</x:v>
      </x:c>
      <x:c r="F106" s="69" t="s">
        <x:v>646</x:v>
      </x:c>
      <x:c r="G106" s="69" t="s">
        <x:v>647</x:v>
      </x:c>
      <x:c r="H106" s="69" t="s">
        <x:v>372</x:v>
      </x:c>
      <x:c r="I106" s="69" t="s">
        <x:v>587</x:v>
      </x:c>
      <x:c r="J106" s="69" t="s">
        <x:v>648</x:v>
      </x:c>
      <x:c r="K106" s="77" t="s">
        <x:v>649</x:v>
      </x:c>
    </x:row>
  </x:sheetData>
  <x:conditionalFormatting sqref="B2:B106">
    <x:cfRule type="beginsWith" dxfId="10" priority="1" operator="beginsWith" text="Code">
      <x:formula>LEFT(B2,LEN("Code"))="Code"</x:formula>
    </x:cfRule>
    <x:cfRule type="containsText" dxfId="9" priority="2" operator="containsText" text="Configuration">
      <x:formula>NOT(ISERROR(SEARCH("Configuration",B2)))</x:formula>
    </x:cfRule>
    <x:cfRule type="containsText" dxfId="8" priority="3" operator="containsText" text="Fabric / Docker">
      <x:formula>NOT(ISERROR(SEARCH("Fabric / Docker",B2)))</x:formula>
    </x:cfRule>
    <x:cfRule type="containsText" dxfId="7" priority="4" operator="containsText" text="Documentation">
      <x:formula>NOT(ISERROR(SEARCH("Documentation",B2)))</x:formula>
    </x:cfRule>
    <x:cfRule type="containsText" dxfId="6" priority="5" operator="containsText" text="Fabric Identity">
      <x:formula>NOT(ISERROR(SEARCH("Fabric Identity",B2)))</x:formula>
    </x:cfRule>
    <x:cfRule type="containsText" dxfId="5" priority="6" operator="containsText" text="Fabric / Chaincode">
      <x:formula>NOT(ISERROR(SEARCH("Fabric / Chaincode",B2)))</x:formula>
    </x:cfRule>
    <x:cfRule type="containsText" dxfId="4" priority="7" operator="containsText" text="Tests / Deployment">
      <x:formula>NOT(ISERROR(SEARCH("Tests / Deployment",B2)))</x:formula>
    </x:cfRule>
    <x:cfRule type="containsText" dxfId="3" priority="8" operator="containsText" text="Database">
      <x:formula>NOT(ISERROR(SEARCH("Database",B2)))</x:formula>
    </x:cfRule>
  </x:conditionalFormatting>
  <x:pageMargins left="0.7" right="0.7" top="0.75" bottom="0.75" header="0.3" footer="0.3"/>
  <x:tableParts count="1">
    <x:tablePart xmlns:r="http://schemas.openxmlformats.org/officeDocument/2006/relationships" r:id="Rb72daf0ff45441ee"/>
  </x:tableParts>
</x:worksheet>
</file>

<file path=xl/worksheets/sheet3.xml><?xml version="1.0" encoding="utf-8"?>
<x:worksheet xmlns:x="http://schemas.openxmlformats.org/spreadsheetml/2006/main">
  <x:sheetFormatPr defaultRowHeight="15"/>
  <x:cols>
    <x:col min="1" max="1" width="10.42578125" style="25" customWidth="1"/>
    <x:col min="2" max="2" width="46" style="22" customWidth="1"/>
    <x:col min="3" max="3" width="29.85546875" style="22" customWidth="1"/>
    <x:col min="4" max="4" width="77.7109375" style="22" customWidth="1"/>
    <x:col min="5" max="5" width="142.85546875" style="22" customWidth="1"/>
    <x:col min="6" max="16384" width="9.140625" style="22" customWidth="0"/>
  </x:cols>
  <x:sheetData>
    <x:row r="1" s="27" customFormat="1">
      <x:c r="A1" s="26" t="s">
        <x:v>24</x:v>
      </x:c>
      <x:c r="B1" s="26" t="s">
        <x:v>650</x:v>
      </x:c>
      <x:c r="C1" s="26" t="s">
        <x:v>651</x:v>
      </x:c>
      <x:c r="D1" s="26" t="s">
        <x:v>652</x:v>
      </x:c>
      <x:c r="E1" s="26" t="s">
        <x:v>653</x:v>
      </x:c>
    </x:row>
    <x:row r="2">
      <x:c r="A2" s="24" t="s">
        <x:v>654</x:v>
      </x:c>
      <x:c r="B2" s="23" t="s">
        <x:v>655</x:v>
      </x:c>
      <x:c r="C2" s="23" t="s">
        <x:v>656</x:v>
      </x:c>
      <x:c r="D2" s="23" t="s">
        <x:v>657</x:v>
      </x:c>
      <x:c r="E2" s="23" t="s">
        <x:v>658</x:v>
      </x:c>
    </x:row>
    <x:row r="3">
      <x:c r="A3" s="24" t="s">
        <x:v>659</x:v>
      </x:c>
      <x:c r="B3" s="23" t="s">
        <x:v>660</x:v>
      </x:c>
      <x:c r="C3" s="23" t="s">
        <x:v>661</x:v>
      </x:c>
      <x:c r="D3" s="23" t="s">
        <x:v>662</x:v>
      </x:c>
      <x:c r="E3" s="23" t="s">
        <x:v>663</x:v>
      </x:c>
    </x:row>
    <x:row r="4">
      <x:c r="A4" s="24" t="s">
        <x:v>664</x:v>
      </x:c>
      <x:c r="B4" s="23" t="s">
        <x:v>665</x:v>
      </x:c>
      <x:c r="C4" s="23" t="s">
        <x:v>666</x:v>
      </x:c>
      <x:c r="D4" s="23" t="s">
        <x:v>667</x:v>
      </x:c>
      <x:c r="E4" s="23" t="s">
        <x:v>668</x:v>
      </x:c>
    </x:row>
    <x:row r="5">
      <x:c r="A5" s="24" t="s">
        <x:v>669</x:v>
      </x:c>
      <x:c r="B5" s="23" t="s">
        <x:v>670</x:v>
      </x:c>
      <x:c r="C5" s="23" t="s">
        <x:v>671</x:v>
      </x:c>
      <x:c r="D5" s="23" t="s">
        <x:v>672</x:v>
      </x:c>
      <x:c r="E5" s="23" t="s">
        <x:v>673</x:v>
      </x:c>
    </x:row>
    <x:row r="6">
      <x:c r="A6" s="24" t="s">
        <x:v>674</x:v>
      </x:c>
      <x:c r="B6" s="23" t="s">
        <x:v>675</x:v>
      </x:c>
      <x:c r="C6" s="23" t="s">
        <x:v>676</x:v>
      </x:c>
      <x:c r="D6" s="23" t="s">
        <x:v>677</x:v>
      </x:c>
      <x:c r="E6" s="23" t="s">
        <x:v>678</x:v>
      </x:c>
    </x:row>
    <x:row r="7" ht="27">
      <x:c r="A7" s="24" t="s">
        <x:v>679</x:v>
      </x:c>
      <x:c r="B7" s="23" t="s">
        <x:v>680</x:v>
      </x:c>
      <x:c r="C7" s="23" t="s">
        <x:v>681</x:v>
      </x:c>
      <x:c r="D7" s="23" t="s">
        <x:v>682</x:v>
      </x:c>
      <x:c r="E7" s="23" t="s">
        <x:v>683</x:v>
      </x:c>
    </x:row>
    <x:row r="8">
      <x:c r="A8" s="24" t="s">
        <x:v>684</x:v>
      </x:c>
      <x:c r="B8" s="23" t="s">
        <x:v>685</x:v>
      </x:c>
      <x:c r="C8" s="23" t="s">
        <x:v>686</x:v>
      </x:c>
      <x:c r="D8" s="23" t="s">
        <x:v>687</x:v>
      </x:c>
      <x:c r="E8" s="23" t="s">
        <x:v>688</x:v>
      </x:c>
    </x:row>
    <x:row r="9">
      <x:c r="A9" s="24" t="s">
        <x:v>689</x:v>
      </x:c>
      <x:c r="B9" s="23" t="s">
        <x:v>690</x:v>
      </x:c>
      <x:c r="C9" s="23" t="s">
        <x:v>691</x:v>
      </x:c>
      <x:c r="D9" s="23" t="s">
        <x:v>692</x:v>
      </x:c>
      <x:c r="E9" s="23" t="s">
        <x:v>693</x:v>
      </x:c>
    </x:row>
    <x:row r="10" ht="27">
      <x:c r="A10" s="24" t="s">
        <x:v>694</x:v>
      </x:c>
      <x:c r="B10" s="23" t="s">
        <x:v>695</x:v>
      </x:c>
      <x:c r="C10" s="23" t="s">
        <x:v>696</x:v>
      </x:c>
      <x:c r="D10" s="23" t="s">
        <x:v>697</x:v>
      </x:c>
      <x:c r="E10" s="23" t="s">
        <x:v>698</x:v>
      </x:c>
    </x:row>
  </x:sheetData>
  <x:pageMargins left="0.7" right="0.7" top="0.75" bottom="0.75" header="0.3" footer="0.3"/>
  <x:tableParts count="1">
    <x:tablePart xmlns:r="http://schemas.openxmlformats.org/officeDocument/2006/relationships" r:id="Rb3d7ffcfca0641b7"/>
  </x:tableParts>
</x:worksheet>
</file>

<file path=xl/worksheets/sheet4.xml><?xml version="1.0" encoding="utf-8"?>
<x:worksheet xmlns:x="http://schemas.openxmlformats.org/spreadsheetml/2006/main">
  <x:sheetFormatPr defaultRowHeight="15"/>
  <x:cols>
    <x:col min="1" max="1" width="56.5703125" style="22" customWidth="1"/>
    <x:col min="2" max="2" width="142.85546875" style="22" customWidth="1"/>
    <x:col min="3" max="3" width="21.85546875" style="22" customWidth="1"/>
    <x:col min="4" max="16384" width="9.140625" style="22" customWidth="0"/>
  </x:cols>
  <x:sheetData>
    <x:row r="1">
      <x:c r="A1" s="48" t="s">
        <x:v>699</x:v>
      </x:c>
      <x:c r="B1" s="49" t="s">
        <x:v>700</x:v>
      </x:c>
      <x:c r="C1" s="50" t="s">
        <x:v>701</x:v>
      </x:c>
    </x:row>
    <x:row r="2">
      <x:c r="A2" s="51" t="s">
        <x:v>702</x:v>
      </x:c>
      <x:c r="B2" s="52" t="s">
        <x:v>703</x:v>
      </x:c>
      <x:c r="C2" s="53" t="s">
        <x:v>704</x:v>
      </x:c>
    </x:row>
    <x:row r="3">
      <x:c r="A3" s="51" t="s">
        <x:v>705</x:v>
      </x:c>
      <x:c r="B3" s="52" t="s">
        <x:v>706</x:v>
      </x:c>
      <x:c r="C3" s="53" t="s">
        <x:v>704</x:v>
      </x:c>
    </x:row>
    <x:row r="4">
      <x:c r="A4" s="51" t="s">
        <x:v>707</x:v>
      </x:c>
      <x:c r="B4" s="52" t="s">
        <x:v>708</x:v>
      </x:c>
      <x:c r="C4" s="53" t="s">
        <x:v>704</x:v>
      </x:c>
    </x:row>
    <x:row r="5">
      <x:c r="A5" s="51" t="s">
        <x:v>709</x:v>
      </x:c>
      <x:c r="B5" s="52" t="s">
        <x:v>710</x:v>
      </x:c>
      <x:c r="C5" s="53" t="s">
        <x:v>704</x:v>
      </x:c>
    </x:row>
    <x:row r="6">
      <x:c r="A6" s="51" t="s">
        <x:v>711</x:v>
      </x:c>
      <x:c r="B6" s="52" t="s">
        <x:v>712</x:v>
      </x:c>
      <x:c r="C6" s="53" t="s">
        <x:v>704</x:v>
      </x:c>
    </x:row>
    <x:row r="7">
      <x:c r="A7" s="51" t="s">
        <x:v>713</x:v>
      </x:c>
      <x:c r="B7" s="52" t="s">
        <x:v>714</x:v>
      </x:c>
      <x:c r="C7" s="53" t="s">
        <x:v>704</x:v>
      </x:c>
    </x:row>
    <x:row r="8">
      <x:c r="A8" s="51" t="s">
        <x:v>715</x:v>
      </x:c>
      <x:c r="B8" s="52" t="s">
        <x:v>716</x:v>
      </x:c>
      <x:c r="C8" s="53" t="s">
        <x:v>704</x:v>
      </x:c>
    </x:row>
    <x:row r="9">
      <x:c r="A9" s="51" t="s">
        <x:v>717</x:v>
      </x:c>
      <x:c r="B9" s="52" t="s">
        <x:v>718</x:v>
      </x:c>
      <x:c r="C9" s="53" t="s">
        <x:v>704</x:v>
      </x:c>
    </x:row>
    <x:row r="10">
      <x:c r="A10" s="51" t="s">
        <x:v>719</x:v>
      </x:c>
      <x:c r="B10" s="52" t="s">
        <x:v>720</x:v>
      </x:c>
      <x:c r="C10" s="53" t="s">
        <x:v>721</x:v>
      </x:c>
    </x:row>
    <x:row r="11">
      <x:c r="A11" s="51" t="s">
        <x:v>722</x:v>
      </x:c>
      <x:c r="B11" s="52" t="s">
        <x:v>723</x:v>
      </x:c>
      <x:c r="C11" s="53" t="s">
        <x:v>704</x:v>
      </x:c>
    </x:row>
    <x:row r="12">
      <x:c r="A12" s="51" t="s">
        <x:v>724</x:v>
      </x:c>
      <x:c r="B12" s="52" t="s">
        <x:v>725</x:v>
      </x:c>
      <x:c r="C12" s="53" t="s">
        <x:v>704</x:v>
      </x:c>
    </x:row>
    <x:row r="13">
      <x:c r="A13" s="51" t="s">
        <x:v>726</x:v>
      </x:c>
      <x:c r="B13" s="52" t="s">
        <x:v>727</x:v>
      </x:c>
      <x:c r="C13" s="53" t="s">
        <x:v>704</x:v>
      </x:c>
    </x:row>
    <x:row r="14">
      <x:c r="A14" s="51" t="s">
        <x:v>728</x:v>
      </x:c>
      <x:c r="B14" s="52" t="s">
        <x:v>729</x:v>
      </x:c>
      <x:c r="C14" s="53" t="s">
        <x:v>704</x:v>
      </x:c>
    </x:row>
    <x:row r="15">
      <x:c r="A15" s="51" t="s">
        <x:v>730</x:v>
      </x:c>
      <x:c r="B15" s="52" t="s">
        <x:v>731</x:v>
      </x:c>
      <x:c r="C15" s="53" t="s">
        <x:v>704</x:v>
      </x:c>
    </x:row>
    <x:row r="16">
      <x:c r="A16" s="51" t="s">
        <x:v>732</x:v>
      </x:c>
      <x:c r="B16" s="52" t="s">
        <x:v>733</x:v>
      </x:c>
      <x:c r="C16" s="53" t="s">
        <x:v>704</x:v>
      </x:c>
    </x:row>
    <x:row r="17">
      <x:c r="A17" s="51" t="s">
        <x:v>734</x:v>
      </x:c>
      <x:c r="B17" s="52" t="s">
        <x:v>735</x:v>
      </x:c>
      <x:c r="C17" s="53" t="s">
        <x:v>721</x:v>
      </x:c>
    </x:row>
    <x:row r="18">
      <x:c r="A18" s="51" t="s">
        <x:v>736</x:v>
      </x:c>
      <x:c r="B18" s="52" t="s">
        <x:v>737</x:v>
      </x:c>
      <x:c r="C18" s="53" t="s">
        <x:v>704</x:v>
      </x:c>
    </x:row>
    <x:row r="19">
      <x:c r="A19" s="51" t="s">
        <x:v>738</x:v>
      </x:c>
      <x:c r="B19" s="52" t="s">
        <x:v>739</x:v>
      </x:c>
      <x:c r="C19" s="53" t="s">
        <x:v>704</x:v>
      </x:c>
    </x:row>
    <x:row r="20">
      <x:c r="A20" s="51" t="s">
        <x:v>740</x:v>
      </x:c>
      <x:c r="B20" s="52" t="s">
        <x:v>741</x:v>
      </x:c>
      <x:c r="C20" s="53" t="s">
        <x:v>704</x:v>
      </x:c>
    </x:row>
    <x:row r="21">
      <x:c r="A21" s="51" t="s">
        <x:v>742</x:v>
      </x:c>
      <x:c r="B21" s="52" t="s">
        <x:v>743</x:v>
      </x:c>
      <x:c r="C21" s="53" t="s">
        <x:v>704</x:v>
      </x:c>
    </x:row>
    <x:row r="22">
      <x:c r="A22" s="51" t="s">
        <x:v>744</x:v>
      </x:c>
      <x:c r="B22" s="52" t="s">
        <x:v>745</x:v>
      </x:c>
      <x:c r="C22" s="53" t="s">
        <x:v>704</x:v>
      </x:c>
    </x:row>
    <x:row r="23">
      <x:c r="A23" s="51" t="s">
        <x:v>746</x:v>
      </x:c>
      <x:c r="B23" s="52" t="s">
        <x:v>747</x:v>
      </x:c>
      <x:c r="C23" s="53" t="s">
        <x:v>704</x:v>
      </x:c>
    </x:row>
    <x:row r="24" ht="27">
      <x:c r="A24" s="51" t="s">
        <x:v>748</x:v>
      </x:c>
      <x:c r="B24" s="52" t="s">
        <x:v>749</x:v>
      </x:c>
      <x:c r="C24" s="53" t="s">
        <x:v>704</x:v>
      </x:c>
    </x:row>
    <x:row r="25" ht="27">
      <x:c r="A25" s="51" t="s">
        <x:v>750</x:v>
      </x:c>
      <x:c r="B25" s="52" t="s">
        <x:v>751</x:v>
      </x:c>
      <x:c r="C25" s="53" t="s">
        <x:v>704</x:v>
      </x:c>
    </x:row>
    <x:row r="26" ht="27">
      <x:c r="A26" s="51" t="s">
        <x:v>752</x:v>
      </x:c>
      <x:c r="B26" s="52" t="s">
        <x:v>753</x:v>
      </x:c>
      <x:c r="C26" s="53" t="s">
        <x:v>721</x:v>
      </x:c>
    </x:row>
    <x:row r="27">
      <x:c r="A27" s="51" t="s">
        <x:v>754</x:v>
      </x:c>
      <x:c r="B27" s="52" t="s">
        <x:v>755</x:v>
      </x:c>
      <x:c r="C27" s="53" t="s">
        <x:v>704</x:v>
      </x:c>
    </x:row>
    <x:row r="28">
      <x:c r="A28" s="51" t="s">
        <x:v>756</x:v>
      </x:c>
      <x:c r="B28" s="52" t="s">
        <x:v>757</x:v>
      </x:c>
      <x:c r="C28" s="53" t="s">
        <x:v>704</x:v>
      </x:c>
    </x:row>
    <x:row r="29">
      <x:c r="A29" s="51" t="s">
        <x:v>758</x:v>
      </x:c>
      <x:c r="B29" s="52" t="s">
        <x:v>759</x:v>
      </x:c>
      <x:c r="C29" s="53" t="s">
        <x:v>704</x:v>
      </x:c>
    </x:row>
    <x:row r="30">
      <x:c r="A30" s="51" t="s">
        <x:v>760</x:v>
      </x:c>
      <x:c r="B30" s="52" t="s">
        <x:v>761</x:v>
      </x:c>
      <x:c r="C30" s="53" t="s">
        <x:v>704</x:v>
      </x:c>
    </x:row>
    <x:row r="31">
      <x:c r="A31" s="54" t="s">
        <x:v>719</x:v>
      </x:c>
      <x:c r="B31" s="55" t="s">
        <x:v>762</x:v>
      </x:c>
      <x:c r="C31" s="56" t="s">
        <x:v>721</x:v>
      </x:c>
    </x:row>
    <x:row r="32">
      <x:c r="A32" s="66" t="s">
        <x:v>763</x:v>
      </x:c>
      <x:c r="B32" s="67" t="s">
        <x:v>764</x:v>
      </x:c>
      <x:c r="C32" s="70" t="s">
        <x:v>704</x:v>
      </x:c>
    </x:row>
    <x:row r="33">
      <x:c r="A33" s="66" t="s">
        <x:v>765</x:v>
      </x:c>
      <x:c r="B33" s="67" t="s">
        <x:v>766</x:v>
      </x:c>
      <x:c r="C33" s="70" t="s">
        <x:v>704</x:v>
      </x:c>
    </x:row>
    <x:row r="34">
      <x:c r="A34" s="66" t="str">
        <x:v>Phase 5 frontend production build</x:v>
      </x:c>
      <x:c r="B34" s="67" t="str">
        <x:v>Pass on AWS. Vite built 1,905 modules; existing font/Cornerstone/chunk warnings remain non-blocking.</x:v>
      </x:c>
      <x:c r="C34" s="89" t="str">
        <x:v>Pass (warnings)</x:v>
      </x:c>
    </x:row>
    <x:row r="35">
      <x:c r="A35" s="68" t="str">
        <x:v>Phase 5 AWS deployment and smoke</x:v>
      </x:c>
      <x:c r="B35" s="69" t="str">
        <x:v>Pass. Commit 4da2e8e, migration, basic 1.0.4 sequence 6, APIs/frontend, create/list/license/update/read/self/spoof-denial/delete, and cleanup verified.</x:v>
      </x:c>
      <x:c r="C35" s="90" t="str">
        <x:v>Pass</x:v>
      </x:c>
    </x:row>
  </x:sheetData>
  <x:conditionalFormatting sqref="C2:C35">
    <x:cfRule type="expression" dxfId="2" priority="1">
      <x:formula>ISNUMBER(SEARCH("pending",C2))</x:formula>
    </x:cfRule>
    <x:cfRule type="expression" dxfId="1" priority="2">
      <x:formula>ISNUMBER(SEARCH("warning",C2))</x:formula>
    </x:cfRule>
    <x:cfRule type="expression" dxfId="0" priority="3">
      <x:formula>EXACT(C2,"Pass")</x:formula>
    </x:cfRule>
  </x:conditionalFormatting>
  <x:pageMargins left="0.7" right="0.7" top="0.75" bottom="0.75" header="0.3" footer="0.3"/>
  <x:tableParts count="1">
    <x:tablePart xmlns:r="http://schemas.openxmlformats.org/officeDocument/2006/relationships" r:id="R21bb78c5c55d45c7"/>
  </x:tableParts>
</x:worksheet>
</file>

<file path=xl/worksheets/sheet5.xml><?xml version="1.0" encoding="utf-8"?>
<x:worksheet xmlns:x="http://schemas.openxmlformats.org/spreadsheetml/2006/main">
  <x:sheetFormatPr defaultRowHeight="15"/>
  <x:cols>
    <x:col min="1" max="1" width="36.5703125" style="22" customWidth="1"/>
    <x:col min="2" max="2" width="216.85546875" style="22" customWidth="1"/>
    <x:col min="3" max="16384" width="9.140625" style="22" customWidth="0"/>
  </x:cols>
  <x:sheetData>
    <x:row r="1">
      <x:c r="A1" s="18" t="s">
        <x:v>767</x:v>
      </x:c>
      <x:c r="B1" s="18" t="s">
        <x:v>768</x:v>
      </x:c>
    </x:row>
    <x:row r="2">
      <x:c r="A2" s="28" t="s">
        <x:v>769</x:v>
      </x:c>
      <x:c r="B2" s="23" t="s">
        <x:v>770</x:v>
      </x:c>
    </x:row>
    <x:row r="3">
      <x:c r="A3" s="28" t="s">
        <x:v>771</x:v>
      </x:c>
      <x:c r="B3" s="23" t="s">
        <x:v>772</x:v>
      </x:c>
    </x:row>
    <x:row r="4">
      <x:c r="A4" s="28" t="s">
        <x:v>773</x:v>
      </x:c>
      <x:c r="B4" s="23" t="s">
        <x:v>774</x:v>
      </x:c>
    </x:row>
    <x:row r="5">
      <x:c r="A5" s="28" t="s">
        <x:v>775</x:v>
      </x:c>
      <x:c r="B5" s="23" t="s">
        <x:v>776</x:v>
      </x:c>
    </x:row>
    <x:row r="6">
      <x:c r="A6" s="28" t="s">
        <x:v>777</x:v>
      </x:c>
      <x:c r="B6" s="23" t="s">
        <x:v>778</x:v>
      </x:c>
    </x:row>
    <x:row r="7">
      <x:c r="A7" s="28" t="s">
        <x:v>779</x:v>
      </x:c>
      <x:c r="B7" s="23" t="s">
        <x:v>780</x:v>
      </x:c>
    </x:row>
    <x:row r="8">
      <x:c r="A8" s="28" t="s">
        <x:v>781</x:v>
      </x:c>
      <x:c r="B8" s="23" t="s">
        <x:v>782</x:v>
      </x:c>
    </x:row>
    <x:row r="9">
      <x:c r="A9" s="28" t="s">
        <x:v>783</x:v>
      </x:c>
      <x:c r="B9" s="23" t="s">
        <x:v>784</x:v>
      </x:c>
    </x:row>
    <x:row r="10">
      <x:c r="A10" s="28" t="s">
        <x:v>785</x:v>
      </x:c>
      <x:c r="B10" s="23" t="s">
        <x:v>786</x:v>
      </x:c>
    </x:row>
    <x:row r="11">
      <x:c r="A11" s="28" t="s">
        <x:v>787</x:v>
      </x:c>
      <x:c r="B11" s="23" t="s">
        <x:v>788</x:v>
      </x:c>
    </x:row>
    <x:row r="12">
      <x:c r="A12" s="28" t="s">
        <x:v>789</x:v>
      </x:c>
      <x:c r="B12" s="23" t="s">
        <x:v>790</x:v>
      </x:c>
    </x:row>
    <x:row r="13">
      <x:c r="A13" t="s">
        <x:v>791</x:v>
      </x:c>
      <x:c r="B13" t="str">
        <x:v>Phase 5 deployed. Fabric CA enrollment/revocation remains an explicit operation for each newly created/deleted doctor until lifecycle automation is implemented.</x:v>
      </x:c>
    </x:row>
  </x:sheetData>
  <x:pageMargins left="0.7" right="0.7" top="0.75" bottom="0.75" header="0.3" footer="0.3"/>
  <x:tableParts count="1">
    <x:tablePart xmlns:r="http://schemas.openxmlformats.org/officeDocument/2006/relationships" r:id="Rb9d6bfe2a9d8459b"/>
  </x:tableParts>
</x:worksheet>
</file>

<file path=xl/worksheets/sheet6.xml><?xml version="1.0" encoding="utf-8"?>
<x:worksheet xmlns:x="http://schemas.openxmlformats.org/spreadsheetml/2006/main">
  <x:sheetFormatPr defaultRowHeight="15"/>
  <x:cols>
    <x:col min="1" max="1" width="13.28515625" style="25" customWidth="1"/>
    <x:col min="2" max="2" width="36" style="22" customWidth="1"/>
    <x:col min="3" max="3" width="53.85546875" style="22" customWidth="1"/>
    <x:col min="4" max="4" width="59.85546875" style="22" customWidth="1"/>
    <x:col min="5" max="5" width="65.7109375" style="22" customWidth="1"/>
    <x:col min="6" max="6" width="95" style="32" customWidth="1"/>
    <x:col min="7" max="16384" width="9.140625" style="22" customWidth="0"/>
  </x:cols>
  <x:sheetData>
    <x:row r="1" s="27" customFormat="1">
      <x:c r="A1" s="31" t="s">
        <x:v>24</x:v>
      </x:c>
      <x:c r="B1" s="31" t="s">
        <x:v>651</x:v>
      </x:c>
      <x:c r="C1" s="31" t="s">
        <x:v>792</x:v>
      </x:c>
      <x:c r="D1" s="31" t="s">
        <x:v>793</x:v>
      </x:c>
      <x:c r="E1" s="31" t="s">
        <x:v>794</x:v>
      </x:c>
      <x:c r="F1" s="31" t="s">
        <x:v>795</x:v>
      </x:c>
    </x:row>
    <x:row r="2" ht="27">
      <x:c r="A2" s="30" t="s">
        <x:v>796</x:v>
      </x:c>
      <x:c r="B2" s="29" t="s">
        <x:v>797</x:v>
      </x:c>
      <x:c r="C2" s="29" t="s">
        <x:v>798</x:v>
      </x:c>
      <x:c r="D2" s="29" t="s">
        <x:v>799</x:v>
      </x:c>
      <x:c r="E2" s="29" t="s">
        <x:v>800</x:v>
      </x:c>
      <x:c r="F2" s="29" t="s">
        <x:v>801</x:v>
      </x:c>
    </x:row>
    <x:row r="3">
      <x:c r="A3" s="30" t="s">
        <x:v>802</x:v>
      </x:c>
      <x:c r="B3" s="29" t="s">
        <x:v>803</x:v>
      </x:c>
      <x:c r="C3" s="29" t="s">
        <x:v>804</x:v>
      </x:c>
      <x:c r="D3" s="29" t="s">
        <x:v>805</x:v>
      </x:c>
      <x:c r="E3" s="29" t="s">
        <x:v>806</x:v>
      </x:c>
      <x:c r="F3" s="29" t="s">
        <x:v>807</x:v>
      </x:c>
    </x:row>
    <x:row r="4" ht="27">
      <x:c r="A4" s="30" t="s">
        <x:v>808</x:v>
      </x:c>
      <x:c r="B4" s="29" t="s">
        <x:v>809</x:v>
      </x:c>
      <x:c r="C4" s="29" t="s">
        <x:v>810</x:v>
      </x:c>
      <x:c r="D4" s="29" t="s">
        <x:v>811</x:v>
      </x:c>
      <x:c r="E4" s="29" t="s">
        <x:v>812</x:v>
      </x:c>
      <x:c r="F4" s="29" t="s">
        <x:v>813</x:v>
      </x:c>
    </x:row>
    <x:row r="5" ht="40.5">
      <x:c r="A5" s="30" t="s">
        <x:v>814</x:v>
      </x:c>
      <x:c r="B5" s="29" t="s">
        <x:v>815</x:v>
      </x:c>
      <x:c r="C5" s="29" t="s">
        <x:v>816</x:v>
      </x:c>
      <x:c r="D5" s="29" t="s">
        <x:v>817</x:v>
      </x:c>
      <x:c r="E5" s="29" t="s">
        <x:v>818</x:v>
      </x:c>
      <x:c r="F5" s="29" t="s">
        <x:v>819</x:v>
      </x:c>
    </x:row>
    <x:row r="6" ht="27">
      <x:c r="A6" s="24" t="s">
        <x:v>820</x:v>
      </x:c>
      <x:c r="B6" s="23" t="s">
        <x:v>821</x:v>
      </x:c>
      <x:c r="C6" s="23" t="s">
        <x:v>822</x:v>
      </x:c>
      <x:c r="D6" s="23" t="s">
        <x:v>823</x:v>
      </x:c>
      <x:c r="E6" s="23" t="s">
        <x:v>824</x:v>
      </x:c>
      <x:c r="F6" s="23" t="s">
        <x:v>825</x:v>
      </x:c>
    </x:row>
    <x:row r="7" ht="27">
      <x:c r="A7" s="30" t="s">
        <x:v>826</x:v>
      </x:c>
      <x:c r="B7" s="29" t="s">
        <x:v>797</x:v>
      </x:c>
      <x:c r="C7" s="29" t="s">
        <x:v>827</x:v>
      </x:c>
      <x:c r="D7" s="29" t="s">
        <x:v>828</x:v>
      </x:c>
      <x:c r="E7" s="29" t="s">
        <x:v>829</x:v>
      </x:c>
      <x:c r="F7" s="29" t="s">
        <x:v>830</x:v>
      </x:c>
    </x:row>
    <x:row r="8" ht="27">
      <x:c r="A8" s="30" t="s">
        <x:v>831</x:v>
      </x:c>
      <x:c r="B8" s="29" t="s">
        <x:v>832</x:v>
      </x:c>
      <x:c r="C8" s="29" t="s">
        <x:v>833</x:v>
      </x:c>
      <x:c r="D8" s="29" t="s">
        <x:v>834</x:v>
      </x:c>
      <x:c r="E8" s="29" t="s">
        <x:v>835</x:v>
      </x:c>
      <x:c r="F8" s="29" t="s">
        <x:v>836</x:v>
      </x:c>
    </x:row>
    <x:row r="9" ht="40.5">
      <x:c r="A9" s="30" t="s">
        <x:v>837</x:v>
      </x:c>
      <x:c r="B9" s="29" t="s">
        <x:v>838</x:v>
      </x:c>
      <x:c r="C9" s="29" t="s">
        <x:v>839</x:v>
      </x:c>
      <x:c r="D9" s="29" t="s">
        <x:v>840</x:v>
      </x:c>
      <x:c r="E9" s="29" t="s">
        <x:v>841</x:v>
      </x:c>
      <x:c r="F9" s="29" t="s">
        <x:v>842</x:v>
      </x:c>
    </x:row>
    <x:row r="10">
      <x:c r="A10" t="s">
        <x:v>843</x:v>
      </x:c>
      <x:c r="B10" t="s">
        <x:v>797</x:v>
      </x:c>
      <x:c r="C10" t="s">
        <x:v>844</x:v>
      </x:c>
      <x:c r="D10" t="s">
        <x:v>845</x:v>
      </x:c>
      <x:c r="E10" t="s">
        <x:v>846</x:v>
      </x:c>
      <x:c r="F10" t="str">
        <x:v>Passed 2026-07-12 after backup. Migration applied; schema verified. Legacy Doctor1/Doctor2 regulated fields remain null pending authoritative source data.</x:v>
      </x:c>
    </x:row>
    <x:row r="11">
      <x:c r="A11" t="s">
        <x:v>847</x:v>
      </x:c>
      <x:c r="B11" t="s">
        <x:v>848</x:v>
      </x:c>
      <x:c r="C11" t="s">
        <x:v>833</x:v>
      </x:c>
      <x:c r="D11" t="s">
        <x:v>849</x:v>
      </x:c>
      <x:c r="E11" t="s">
        <x:v>850</x:v>
      </x:c>
      <x:c r="F11" t="str">
        <x:v>Passed 2026-07-12. Chaincode basic 1.0.4 sequence 6 committed with Org1MSP and Org2MSP approvals; Blockchain API restarted.</x:v>
      </x:c>
    </x:row>
    <x:row r="12">
      <x:c r="A12" t="s">
        <x:v>851</x:v>
      </x:c>
      <x:c r="B12" t="s">
        <x:v>852</x:v>
      </x:c>
      <x:c r="C12" t="s">
        <x:v>853</x:v>
      </x:c>
      <x:c r="D12" t="s">
        <x:v>854</x:v>
      </x:c>
      <x:c r="E12" t="s">
        <x:v>855</x:v>
      </x:c>
      <x:c r="F12" t="str">
        <x:v>Operational carry-forward. Existing identities remain bound; enroll doctor-&lt;doctorID&gt; after new doctor creation and revoke after deletion until lifecycle automation is implemented.</x:v>
      </x:c>
    </x:row>
    <x:row r="13">
      <x:c r="A13" t="s">
        <x:v>856</x:v>
      </x:c>
      <x:c r="B13" t="s">
        <x:v>857</x:v>
      </x:c>
      <x:c r="C13" t="s">
        <x:v>839</x:v>
      </x:c>
      <x:c r="D13" t="s">
        <x:v>858</x:v>
      </x:c>
      <x:c r="E13" t="s">
        <x:v>859</x:v>
      </x:c>
      <x:c r="F13" t="str">
        <x:v>Passed 2026-07-12. Database API rebuilt, frontend clean-installed/built/copied, Nginx validated, and authenticated Phase 5 smoke workflow passed.</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style="22" customWidth="1"/>
    <x:col min="2" max="2" width="22.85546875" style="22" customWidth="1"/>
    <x:col min="3" max="6" width="57.140625" style="22" customWidth="1"/>
    <x:col min="7" max="7" width="70.140625" style="22" customWidth="1"/>
    <x:col min="8" max="16384" width="9.140625" style="22" customWidth="0"/>
  </x:cols>
  <x:sheetData>
    <x:row r="1">
      <x:c r="A1" s="17" t="s">
        <x:v>860</x:v>
      </x:c>
      <x:c r="B1" s="17" t="s">
        <x:v>861</x:v>
      </x:c>
      <x:c r="C1" s="17" t="s">
        <x:v>862</x:v>
      </x:c>
      <x:c r="D1" s="17" t="s">
        <x:v>863</x:v>
      </x:c>
      <x:c r="E1" s="17" t="s">
        <x:v>864</x:v>
      </x:c>
      <x:c r="F1" s="17" t="s">
        <x:v>865</x:v>
      </x:c>
      <x:c r="G1" s="17" t="s">
        <x:v>866</x:v>
      </x:c>
    </x:row>
    <x:row r="2" ht="40.5">
      <x:c r="A2" s="45" t="s">
        <x:v>514</x:v>
      </x:c>
      <x:c r="B2" s="29" t="s">
        <x:v>867</x:v>
      </x:c>
      <x:c r="C2" s="29" t="s">
        <x:v>868</x:v>
      </x:c>
      <x:c r="D2" s="29" t="s">
        <x:v>869</x:v>
      </x:c>
      <x:c r="E2" s="29" t="s">
        <x:v>870</x:v>
      </x:c>
      <x:c r="F2" s="29" t="s">
        <x:v>871</x:v>
      </x:c>
      <x:c r="G2" s="29" t="s">
        <x:v>872</x:v>
      </x:c>
    </x:row>
    <x:row r="3" ht="40.5">
      <x:c r="A3" s="45" t="s">
        <x:v>508</x:v>
      </x:c>
      <x:c r="B3" s="29" t="s">
        <x:v>873</x:v>
      </x:c>
      <x:c r="C3" s="29" t="s">
        <x:v>874</x:v>
      </x:c>
      <x:c r="D3" s="29" t="s">
        <x:v>875</x:v>
      </x:c>
      <x:c r="E3" s="29" t="s">
        <x:v>876</x:v>
      </x:c>
      <x:c r="F3" s="29" t="s">
        <x:v>877</x:v>
      </x:c>
      <x:c r="G3" s="29" t="s">
        <x:v>878</x:v>
      </x:c>
    </x:row>
    <x:row r="4" ht="40.5">
      <x:c r="A4" s="45" t="s">
        <x:v>502</x:v>
      </x:c>
      <x:c r="B4" s="29" t="s">
        <x:v>879</x:v>
      </x:c>
      <x:c r="C4" s="29" t="s">
        <x:v>880</x:v>
      </x:c>
      <x:c r="D4" s="29" t="s">
        <x:v>881</x:v>
      </x:c>
      <x:c r="E4" s="29" t="s">
        <x:v>882</x:v>
      </x:c>
      <x:c r="F4" s="29" t="s">
        <x:v>883</x:v>
      </x:c>
      <x:c r="G4" s="29" t="s">
        <x:v>884</x:v>
      </x:c>
    </x:row>
    <x:row r="5" ht="40.5">
      <x:c r="A5" s="45" t="s">
        <x:v>494</x:v>
      </x:c>
      <x:c r="B5" s="29" t="s">
        <x:v>885</x:v>
      </x:c>
      <x:c r="C5" s="29" t="s">
        <x:v>886</x:v>
      </x:c>
      <x:c r="D5" s="29" t="s">
        <x:v>887</x:v>
      </x:c>
      <x:c r="E5" s="29" t="s">
        <x:v>888</x:v>
      </x:c>
      <x:c r="F5" s="29" t="s">
        <x:v>889</x:v>
      </x:c>
      <x:c r="G5" s="29" t="s">
        <x:v>890</x:v>
      </x:c>
    </x:row>
    <x:row r="6" ht="27">
      <x:c r="A6" s="45" t="s">
        <x:v>891</x:v>
      </x:c>
      <x:c r="B6" s="29" t="s">
        <x:v>892</x:v>
      </x:c>
      <x:c r="C6" s="29" t="s">
        <x:v>893</x:v>
      </x:c>
      <x:c r="D6" s="29" t="s">
        <x:v>894</x:v>
      </x:c>
      <x:c r="E6" s="29" t="s">
        <x:v>895</x:v>
      </x:c>
      <x:c r="F6" s="29" t="s">
        <x:v>896</x:v>
      </x:c>
      <x:c r="G6" s="29" t="s">
        <x:v>897</x:v>
      </x:c>
    </x:row>
    <x:row r="7" ht="27">
      <x:c r="A7" s="45" t="s">
        <x:v>898</x:v>
      </x:c>
      <x:c r="B7" s="29" t="s">
        <x:v>899</x:v>
      </x:c>
      <x:c r="C7" s="29" t="s">
        <x:v>900</x:v>
      </x:c>
      <x:c r="D7" s="29" t="s">
        <x:v>901</x:v>
      </x:c>
      <x:c r="E7" s="29" t="s">
        <x:v>902</x:v>
      </x:c>
      <x:c r="F7" s="29" t="s">
        <x:v>903</x:v>
      </x:c>
      <x:c r="G7" s="29" t="s">
        <x:v>904</x:v>
      </x:c>
    </x:row>
    <x:row r="8" ht="27">
      <x:c r="A8" s="45" t="s">
        <x:v>905</x:v>
      </x:c>
      <x:c r="B8" s="29" t="s">
        <x:v>906</x:v>
      </x:c>
      <x:c r="C8" s="29" t="s">
        <x:v>907</x:v>
      </x:c>
      <x:c r="D8" s="29" t="s">
        <x:v>908</x:v>
      </x:c>
      <x:c r="E8" s="29" t="s">
        <x:v>909</x:v>
      </x:c>
      <x:c r="F8" s="29" t="s">
        <x:v>910</x:v>
      </x:c>
      <x:c r="G8" s="29" t="s">
        <x:v>911</x:v>
      </x:c>
    </x:row>
    <x:row r="9" ht="54">
      <x:c r="A9" s="45" t="s">
        <x:v>912</x:v>
      </x:c>
      <x:c r="B9" s="29" t="s">
        <x:v>913</x:v>
      </x:c>
      <x:c r="C9" s="29" t="s">
        <x:v>914</x:v>
      </x:c>
      <x:c r="D9" s="29" t="s">
        <x:v>915</x:v>
      </x:c>
      <x:c r="E9" s="29" t="s">
        <x:v>916</x:v>
      </x:c>
      <x:c r="F9" s="29" t="s">
        <x:v>917</x:v>
      </x:c>
      <x:c r="G9" s="29" t="s">
        <x:v>918</x:v>
      </x:c>
    </x:row>
    <x:row r="10" ht="54">
      <x:c r="A10" s="45" t="s">
        <x:v>919</x:v>
      </x:c>
      <x:c r="B10" s="29" t="s">
        <x:v>920</x:v>
      </x:c>
      <x:c r="C10" s="29" t="s">
        <x:v>921</x:v>
      </x:c>
      <x:c r="D10" s="29" t="s">
        <x:v>922</x:v>
      </x:c>
      <x:c r="E10" s="29" t="s">
        <x:v>923</x:v>
      </x:c>
      <x:c r="F10" s="29" t="s">
        <x:v>924</x:v>
      </x:c>
      <x:c r="G10" s="29" t="s">
        <x:v>925</x:v>
      </x:c>
    </x:row>
    <x:row r="11" ht="27">
      <x:c r="A11" s="45" t="s">
        <x:v>926</x:v>
      </x:c>
      <x:c r="B11" s="29" t="s">
        <x:v>927</x:v>
      </x:c>
      <x:c r="C11" s="29" t="s">
        <x:v>928</x:v>
      </x:c>
      <x:c r="D11" s="29" t="s">
        <x:v>929</x:v>
      </x:c>
      <x:c r="E11" s="29" t="s">
        <x:v>927</x:v>
      </x:c>
      <x:c r="F11" s="29" t="s">
        <x:v>930</x:v>
      </x:c>
      <x:c r="G11" s="29" t="s">
        <x:v>931</x:v>
      </x:c>
    </x:row>
    <x:row r="12" ht="27">
      <x:c r="A12" s="45" t="s">
        <x:v>932</x:v>
      </x:c>
      <x:c r="B12" s="29" t="s">
        <x:v>933</x:v>
      </x:c>
      <x:c r="C12" s="29" t="s">
        <x:v>934</x:v>
      </x:c>
      <x:c r="D12" s="29" t="s">
        <x:v>935</x:v>
      </x:c>
      <x:c r="E12" s="29" t="s">
        <x:v>933</x:v>
      </x:c>
      <x:c r="F12" s="29" t="s">
        <x:v>936</x:v>
      </x:c>
      <x:c r="G12" s="29" t="s">
        <x:v>937</x:v>
      </x:c>
    </x:row>
    <x:row r="13" ht="40.5">
      <x:c r="A13" s="45" t="s">
        <x:v>938</x:v>
      </x:c>
      <x:c r="B13" s="29" t="s">
        <x:v>939</x:v>
      </x:c>
      <x:c r="C13" s="29" t="s">
        <x:v>940</x:v>
      </x:c>
      <x:c r="D13" s="29" t="s">
        <x:v>941</x:v>
      </x:c>
      <x:c r="E13" s="29" t="s">
        <x:v>942</x:v>
      </x:c>
      <x:c r="F13" s="29" t="str">
        <x:v>Deployed and smoke-tested on AWS from 4da2e8e.</x:v>
      </x:c>
      <x:c r="G13" s="29" t="str">
        <x:v>Legacy Doctor1/Doctor2 regulated values await authoritative backfill; CA lifecycle automation remains open.</x:v>
      </x:c>
    </x:row>
    <x:row r="14" ht="27">
      <x:c r="A14" s="45" t="s">
        <x:v>943</x:v>
      </x:c>
      <x:c r="B14" s="29" t="s">
        <x:v>944</x:v>
      </x:c>
      <x:c r="C14" s="29" t="s">
        <x:v>945</x:v>
      </x:c>
      <x:c r="D14" s="29" t="s">
        <x:v>946</x:v>
      </x:c>
      <x:c r="E14" s="29" t="s">
        <x:v>624</x:v>
      </x:c>
      <x:c r="F14" s="29" t="str">
        <x:v>Self route and spoof denial passed on AWS.</x:v>
      </x:c>
      <x:c r="G14" s="29" t="str">
        <x:v>Complete.</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0" style="22" customWidth="1"/>
    <x:col min="2" max="6" width="34.28515625" style="22" customWidth="1"/>
    <x:col min="7" max="16384" width="9.140625" style="22" customWidth="0"/>
  </x:cols>
  <x:sheetData>
    <x:row r="1" ht="21">
      <x:c r="A1" s="83" t="s">
        <x:v>947</x:v>
      </x:c>
      <x:c r="B1" s="83"/>
      <x:c r="C1" s="83"/>
      <x:c r="D1" s="83"/>
      <x:c r="E1" s="83"/>
      <x:c r="F1" s="83"/>
    </x:row>
    <x:row r="2">
      <x:c r="A2" s="84" t="s">
        <x:v>948</x:v>
      </x:c>
      <x:c r="B2" s="84"/>
      <x:c r="C2" s="84"/>
      <x:c r="D2" s="84"/>
      <x:c r="E2" s="84"/>
      <x:c r="F2" s="84"/>
    </x:row>
    <x:row r="3">
      <x:c r="A3" s="32"/>
      <x:c r="B3" s="32"/>
      <x:c r="C3" s="32"/>
      <x:c r="D3" s="32"/>
      <x:c r="E3" s="32"/>
      <x:c r="F3" s="32"/>
    </x:row>
    <x:row r="4">
      <x:c r="A4" s="46" t="s">
        <x:v>30</x:v>
      </x:c>
      <x:c r="B4" s="46" t="s">
        <x:v>10</x:v>
      </x:c>
      <x:c r="C4" s="46" t="s">
        <x:v>949</x:v>
      </x:c>
      <x:c r="D4" s="32"/>
      <x:c r="E4" s="32"/>
      <x:c r="F4" s="32"/>
    </x:row>
    <x:row r="5" ht="45">
      <x:c r="A5" s="33" t="s">
        <x:v>40</x:v>
      </x:c>
      <x:c r="B5" s="39" t="n">
        <x:f>COUNTIF(Changes!$H$2:$H$106,A5)</x:f>
        <x:v>48</x:v>
      </x:c>
      <x:c r="C5" s="34" t="s">
        <x:v>950</x:v>
      </x:c>
      <x:c r="D5" s="32"/>
      <x:c r="E5" s="32"/>
      <x:c r="F5" s="32"/>
    </x:row>
    <x:row r="6" ht="45">
      <x:c r="A6" s="35" t="s">
        <x:v>83</x:v>
      </x:c>
      <x:c r="B6" s="40" t="n">
        <x:f>COUNTIF(Changes!$H$2:$H$106,A6)</x:f>
        <x:v>32</x:v>
      </x:c>
      <x:c r="C6" s="36" t="s">
        <x:v>951</x:v>
      </x:c>
      <x:c r="D6" s="32"/>
      <x:c r="E6" s="32"/>
      <x:c r="F6" s="32"/>
    </x:row>
    <x:row r="7" ht="45">
      <x:c r="A7" s="35" t="s">
        <x:v>65</x:v>
      </x:c>
      <x:c r="B7" s="40" t="n">
        <x:f>COUNTIF(Changes!$H$2:$H$106,A7)</x:f>
        <x:v>11</x:v>
      </x:c>
      <x:c r="C7" s="36" t="s">
        <x:v>952</x:v>
      </x:c>
      <x:c r="D7" s="32"/>
      <x:c r="E7" s="32"/>
      <x:c r="F7" s="32"/>
    </x:row>
    <x:row r="8" ht="60">
      <x:c r="A8" s="37" t="s">
        <x:v>372</x:v>
      </x:c>
      <x:c r="B8" s="41" t="n">
        <x:f>COUNTIF(Changes!$H$2:$H$106,A8)</x:f>
        <x:v>14</x:v>
      </x:c>
      <x:c r="C8" s="38" t="s">
        <x:v>953</x:v>
      </x:c>
      <x:c r="D8" s="32"/>
      <x:c r="E8" s="32"/>
      <x:c r="F8" s="32"/>
    </x:row>
    <x:row r="9">
      <x:c r="A9" s="32"/>
      <x:c r="B9" s="32"/>
      <x:c r="C9" s="32"/>
      <x:c r="D9" s="32"/>
      <x:c r="E9" s="32"/>
      <x:c r="F9" s="32"/>
    </x:row>
    <x:row r="10">
      <x:c r="A10" s="46" t="s">
        <x:v>954</x:v>
      </x:c>
      <x:c r="B10" s="46" t="s">
        <x:v>40</x:v>
      </x:c>
      <x:c r="C10" s="46" t="s">
        <x:v>83</x:v>
      </x:c>
      <x:c r="D10" s="46" t="s">
        <x:v>65</x:v>
      </x:c>
      <x:c r="E10" s="46" t="s">
        <x:v>372</x:v>
      </x:c>
      <x:c r="F10" s="46" t="s">
        <x:v>955</x:v>
      </x:c>
    </x:row>
    <x:row r="11">
      <x:c r="A11" s="33" t="s">
        <x:v>41</x:v>
      </x:c>
      <x:c r="B11" s="39" t="n">
        <x:f>COUNTIFS(Changes!$I$2:$I$106,$A11,Changes!$H$2:$H$106,B$10)</x:f>
        <x:v>45</x:v>
      </x:c>
      <x:c r="C11" s="39" t="n">
        <x:f>COUNTIFS(Changes!$I$2:$I$106,$A11,Changes!$H$2:$H$106,C$10)</x:f>
        <x:v>6</x:v>
      </x:c>
      <x:c r="D11" s="39" t="n">
        <x:f>COUNTIFS(Changes!$I$2:$I$106,$A11,Changes!$H$2:$H$106,D$10)</x:f>
        <x:v>8</x:v>
      </x:c>
      <x:c r="E11" s="39" t="n">
        <x:f>COUNTIFS(Changes!$I$2:$I$106,$A11,Changes!$H$2:$H$106,E$10)</x:f>
        <x:v>7</x:v>
      </x:c>
      <x:c r="F11" s="42" t="n">
        <x:f>SUM(B11:E11)</x:f>
        <x:v>66</x:v>
      </x:c>
    </x:row>
    <x:row r="12">
      <x:c r="A12" s="35" t="s">
        <x:v>409</x:v>
      </x:c>
      <x:c r="B12" s="40" t="n">
        <x:f>COUNTIFS(Changes!$I$2:$I$106,$A12,Changes!$H$2:$H$106,B$10)</x:f>
        <x:v>3</x:v>
      </x:c>
      <x:c r="C12" s="40" t="n">
        <x:f>COUNTIFS(Changes!$I$2:$I$106,$A12,Changes!$H$2:$H$106,C$10)</x:f>
        <x:v>10</x:v>
      </x:c>
      <x:c r="D12" s="40" t="n">
        <x:f>COUNTIFS(Changes!$I$2:$I$106,$A12,Changes!$H$2:$H$106,D$10)</x:f>
        <x:v>0</x:v>
      </x:c>
      <x:c r="E12" s="40" t="n">
        <x:f>COUNTIFS(Changes!$I$2:$I$106,$A12,Changes!$H$2:$H$106,E$10)</x:f>
        <x:v>3</x:v>
      </x:c>
      <x:c r="F12" s="43" t="n">
        <x:f>SUM(B12:E12)</x:f>
        <x:v>16</x:v>
      </x:c>
    </x:row>
    <x:row r="13">
      <x:c r="A13" s="35" t="s">
        <x:v>500</x:v>
      </x:c>
      <x:c r="B13" s="40" t="n">
        <x:f>COUNTIFS(Changes!$I$2:$I$106,$A13,Changes!$H$2:$H$106,B$10)</x:f>
        <x:v>0</x:v>
      </x:c>
      <x:c r="C13" s="40" t="n">
        <x:f>COUNTIFS(Changes!$I$2:$I$106,$A13,Changes!$H$2:$H$106,C$10)</x:f>
        <x:v>3</x:v>
      </x:c>
      <x:c r="D13" s="40" t="n">
        <x:f>COUNTIFS(Changes!$I$2:$I$106,$A13,Changes!$H$2:$H$106,D$10)</x:f>
        <x:v>0</x:v>
      </x:c>
      <x:c r="E13" s="40" t="n">
        <x:f>COUNTIFS(Changes!$I$2:$I$106,$A13,Changes!$H$2:$H$106,E$10)</x:f>
        <x:v>1</x:v>
      </x:c>
      <x:c r="F13" s="43" t="n">
        <x:f>SUM(B13:E13)</x:f>
        <x:v>4</x:v>
      </x:c>
    </x:row>
    <x:row r="14">
      <x:c r="A14" s="35" t="s">
        <x:v>525</x:v>
      </x:c>
      <x:c r="B14" s="40" t="n">
        <x:f>COUNTIFS(Changes!$I$2:$I$106,$A14,Changes!$H$2:$H$106,B$10)</x:f>
        <x:v>0</x:v>
      </x:c>
      <x:c r="C14" s="40" t="n">
        <x:f>COUNTIFS(Changes!$I$2:$I$106,$A14,Changes!$H$2:$H$106,C$10)</x:f>
        <x:v>2</x:v>
      </x:c>
      <x:c r="D14" s="40" t="n">
        <x:f>COUNTIFS(Changes!$I$2:$I$106,$A14,Changes!$H$2:$H$106,D$10)</x:f>
        <x:v>1</x:v>
      </x:c>
      <x:c r="E14" s="40" t="n">
        <x:f>COUNTIFS(Changes!$I$2:$I$106,$A14,Changes!$H$2:$H$106,E$10)</x:f>
        <x:v>1</x:v>
      </x:c>
      <x:c r="F14" s="43" t="n">
        <x:f>SUM(B14:E14)</x:f>
        <x:v>4</x:v>
      </x:c>
    </x:row>
    <x:row r="15">
      <x:c r="A15" s="37" t="s">
        <x:v>550</x:v>
      </x:c>
      <x:c r="B15" s="41" t="n">
        <x:f>COUNTIFS(Changes!$I$2:$I$106,$A15,Changes!$H$2:$H$106,B$10)</x:f>
        <x:v>0</x:v>
      </x:c>
      <x:c r="C15" s="41" t="n">
        <x:f>COUNTIFS(Changes!$I$2:$I$106,$A15,Changes!$H$2:$H$106,C$10)</x:f>
        <x:v>5</x:v>
      </x:c>
      <x:c r="D15" s="41" t="n">
        <x:f>COUNTIFS(Changes!$I$2:$I$106,$A15,Changes!$H$2:$H$106,D$10)</x:f>
        <x:v>0</x:v>
      </x:c>
      <x:c r="E15" s="41" t="n">
        <x:f>COUNTIFS(Changes!$I$2:$I$106,$A15,Changes!$H$2:$H$106,E$10)</x:f>
        <x:v>1</x:v>
      </x:c>
      <x:c r="F15" s="44" t="n">
        <x:f>SUM(B15:E15)</x:f>
        <x:v>6</x:v>
      </x:c>
    </x:row>
    <x:row r="16">
      <x:c r="A16" s="32" t="s">
        <x:v>587</x:v>
      </x:c>
      <x:c r="B16" s="86">
        <x:v>0</x:v>
      </x:c>
      <x:c r="C16" s="86">
        <x:v>6</x:v>
      </x:c>
      <x:c r="D16" s="86">
        <x:v>2</x:v>
      </x:c>
      <x:c r="E16" s="86">
        <x:v>1</x:v>
      </x:c>
      <x:c r="F16" s="86">
        <x:v>9</x:v>
      </x:c>
    </x:row>
    <x:row r="17">
      <x:c r="A17" s="85" t="s">
        <x:v>956</x:v>
      </x:c>
      <x:c r="B17" s="85"/>
      <x:c r="C17" s="85"/>
      <x:c r="D17" s="85"/>
      <x:c r="E17" s="85"/>
      <x:c r="F17" s="85"/>
    </x:row>
    <x:row r="18">
      <x:c r="A18" s="82" t="s">
        <x:v>957</x:v>
      </x:c>
      <x:c r="B18" s="82"/>
      <x:c r="C18" s="82"/>
      <x:c r="D18" s="82"/>
      <x:c r="E18" s="82"/>
      <x:c r="F18" s="82"/>
    </x:row>
    <x:row r="19">
      <x:c r="A19" s="82" t="s">
        <x:v>958</x:v>
      </x:c>
      <x:c r="B19" s="82"/>
      <x:c r="C19" s="82"/>
      <x:c r="D19" s="82"/>
      <x:c r="E19" s="82"/>
      <x:c r="F19" s="82"/>
    </x:row>
    <x:row r="20">
      <x:c r="A20" s="82" t="s">
        <x:v>959</x:v>
      </x:c>
      <x:c r="B20" s="82"/>
      <x:c r="C20" s="82"/>
      <x:c r="D20" s="82"/>
      <x:c r="E20" s="82"/>
      <x:c r="F20" s="82"/>
    </x:row>
    <x:row r="21">
      <x:c r="A21" s="82" t="s">
        <x:v>960</x:v>
      </x:c>
      <x:c r="B21" s="82"/>
      <x:c r="C21" s="82"/>
      <x:c r="D21" s="82"/>
      <x:c r="E21" s="82"/>
      <x:c r="F21" s="82"/>
    </x:row>
  </x:sheetData>
  <x:mergeCells>
    <x:mergeCell ref="A20:F20"/>
    <x:mergeCell ref="A21:F21"/>
    <x:mergeCell ref="A1:F1"/>
    <x:mergeCell ref="A2:F2"/>
    <x:mergeCell ref="A17:F17"/>
    <x:mergeCell ref="A18:F18"/>
    <x:mergeCell ref="A19:F19"/>
  </x:mergeCells>
  <x:pageMargins left="0.7" right="0.7" top="0.75" bottom="0.75" header="0.3" footer="0.3"/>
</x:worksheet>
</file>