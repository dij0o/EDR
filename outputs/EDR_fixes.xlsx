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4a49d1dc064ac9" /></Relationships>
</file>

<file path=xl/workbook.xml><?xml version="1.0" encoding="utf-8"?>
<x:workbook xmlns:x="http://schemas.openxmlformats.org/spreadsheetml/2006/main">
  <x:sheets>
    <x:sheet xmlns:r="http://schemas.openxmlformats.org/officeDocument/2006/relationships" name="Overview" sheetId="1" r:id="Rb8914b3e6d85496a"/>
    <x:sheet xmlns:r="http://schemas.openxmlformats.org/officeDocument/2006/relationships" name="Changes" sheetId="2" r:id="R84241f8a7f8445ad"/>
    <x:sheet xmlns:r="http://schemas.openxmlformats.org/officeDocument/2006/relationships" name="Runtime Artifacts" sheetId="3" r:id="R550071bb746a4286"/>
    <x:sheet xmlns:r="http://schemas.openxmlformats.org/officeDocument/2006/relationships" name="Verification" sheetId="4" r:id="Raa57b544cfdb48ff"/>
    <x:sheet xmlns:r="http://schemas.openxmlformats.org/officeDocument/2006/relationships" name="Known Items" sheetId="5" r:id="Rddfff5d226194ee3"/>
    <x:sheet xmlns:r="http://schemas.openxmlformats.org/officeDocument/2006/relationships" name="Deployment Migrations" sheetId="6" r:id="R9ca280becc714357"/>
    <x:sheet xmlns:r="http://schemas.openxmlformats.org/officeDocument/2006/relationships" name="SRS Gap Mapping" sheetId="7" r:id="R105b042f0905400f"/>
    <x:sheet xmlns:r="http://schemas.openxmlformats.org/officeDocument/2006/relationships" name="Classification Summary" sheetId="8" r:id="R97c85caf94f444f1"/>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<x:sst xmlns:x="http://schemas.openxmlformats.org/spreadsheetml/2006/main">
  <x:si>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</x:si>
  <x:si>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</x:si>
  <x:si>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</x:si>
  <x:si>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</x:si>
  <x:si>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</x:si>
  <x:si>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</x:si>
  <x:si>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</x:si>
  <x:si>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</x:si>
  <x:si>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</x:si>
  <x:si>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</x:si>
  <x:si>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</x:si>
  <x:si>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</x:si>
  <x:si>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</x:si>
  <x:si>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</x:si>
  <x:si>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</x:si>
  <x:si>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</x:si>
  <x:si>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</x:si>
  <x:si>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</x:si>
  <x:si>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</x:si>
  <x:si>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</x:si>
  <x:si>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</x:si>
  <x:si>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</x:si>
  <x:si>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</x:si>
  <x:si>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</x:si>
  <x:si>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</x:si>
  <x:si>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</x:si>
  <x:si>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</x:si>
  <x:si>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</x:si>
  <x:si>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</x:si>
  <x:si>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</x:si>
  <x:si>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</x:si>
  <x:si>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</x:si>
  <x:si>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</x:si>
  <x:si>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</x:si>
  <x:si>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</x:si>
  <x:si>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</x:si>
  <x:si>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</x:si>
  <x:si>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</x:si>
  <x:si>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</x:si>
  <x:si>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</x:si>
  <x:si>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</x:si>
  <x:si>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</x:si>
  <x:si>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</x:si>
  <x:si>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</x:si>
  <x:si>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</x:si>
  <x:si>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</x:si>
  <x:si>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</x:si>
  <x:si>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</x:si>
  <x:si>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</x:si>
  <x:si>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</x:si>
  <x:si>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</x:si>
  <x:si>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</x:si>
  <x:si>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</x:si>
  <x:si>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</x:si>
  <x:si>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</x:si>
  <x:si>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</x:si>
  <x:si>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</x:si>
  <x:si>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</x:si>
  <x:si>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</x:si>
  <x:si>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</x:si>
  <x:si>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</x:si>
  <x:si>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</x:si>
  <x:si>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</x:si>
  <x:si>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</x:si>
  <x:si>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</x:si>
  <x:si>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</x:si>
  <x:si>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</x:si>
  <x:si>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</x:si>
  <x:si>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</x:si>
  <x:si>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</x:si>
  <x:si>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</x:si>
  <x:si>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</x:si>
  <x:si>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</x:si>
  <x:si>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</x:si>
  <x:si>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</x:si>
  <x:si>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</x:si>
  <x:si>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</x:si>
  <x:si>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</x:si>
  <x:si>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</x:si>
  <x:si>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</x:si>
  <x:si>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</x:si>
  <x:si>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</x:si>
  <x:si>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</x:si>
  <x:si>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</x:si>
  <x:si>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</x:si>
  <x:si>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</x:si>
  <x:si>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</x:si>
  <x:si>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</x:si>
  <x:si>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</x:si>
  <x:si>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</x:si>
  <x:si>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</x:si>
  <x:si>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</x:si>
  <x:si>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</x:si>
  <x:si>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</x:si>
  <x:si>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</x:si>
  <x:si>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</x:si>
  <x:si>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</x:si>
  <x:si>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</x:si>
  <x:si>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</x:si>
  <x:si>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</x:si>
  <x:si>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</x:si>
  <x:si>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</x:si>
  <x:si>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</x:si>
  <x:si>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</x:si>
  <x:si>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</x:si>
  <x:si>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</x:si>
  <x:si>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</x:si>
  <x:si>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</x:si>
  <x:si>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</x:si>
  <x:si>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</x:si>
  <x:si>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</x:si>
  <x:si>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</x:si>
  <x:si>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</x:si>
  <x:si>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</x:si>
  <x:si>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</x:si>
  <x:si>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</x:si>
  <x:si>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</x:si>
  <x:si>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</x:si>
  <x:si>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</x:si>
  <x:si>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</x:si>
  <x:si>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</x:si>
  <x:si>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</x:si>
  <x:si>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</x:si>
  <x:si>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</x:si>
  <x:si>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</x:si>
  <x:si>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</x:si>
  <x:si>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</x:si>
  <x:si>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</x:si>
  <x:si>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</x:si>
  <x:si>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</x:si>
  <x:si>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</x:si>
  <x:si>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</x:si>
  <x:si>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</x:si>
  <x:si>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</x:si>
  <x:si>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</x:si>
  <x:si>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</x:si>
  <x:si>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</x:si>
  <x:si>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</x:si>
  <x:si>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</x:si>
  <x:si>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</x:si>
  <x:si>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</x:si>
  <x:si>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</x:si>
  <x:si>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</x:si>
  <x:si>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</x:si>
  <x:si>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</x:si>
  <x:si>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</x:si>
  <x:si>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</x:si>
  <x:si>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</x:si>
  <x:si>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</x:si>
  <x:si>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</x:si>
  <x:si>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</x:si>
  <x:si>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</x:si>
  <x:si>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</x:si>
  <x:si>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</x:si>
  <x:si>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</x:si>
  <x:si>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</x:si>
  <x:si>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</x:si>
  <x:si>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</x:si>
  <x:si>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</x:si>
  <x:si>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</x:si>
  <x:si>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</x:si>
  <x:si>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</x:si>
  <x:si>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</x:si>
  <x:si>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</x:si>
  <x:si>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</x:si>
  <x:si>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</x:si>
  <x:si>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</x:si>
  <x:si>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</x:si>
  <x:si>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</x:si>
  <x:si>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</x:si>
  <x:si>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</x:si>
  <x:si>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</x:si>
  <x:si>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</x:si>
  <x:si>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</x:si>
  <x:si>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</x:si>
  <x:si>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</x:si>
  <x:si>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</x:si>
  <x:si>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</x:si>
  <x:si>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</x:si>
  <x:si>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</x:si>
  <x:si>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</x:si>
  <x:si>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</x:si>
  <x:si>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</x:si>
  <x:si>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</x:si>
  <x:si>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</x:si>
  <x:si>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</x:si>
  <x:si>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</x:si>
  <x:si>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</x:si>
  <x:si>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</x:si>
  <x:si>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</x:si>
  <x:si>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</x:si>
  <x:si>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</x:si>
  <x:si>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</x:si>
  <x:si>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</x:si>
  <x:si>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</x:si>
  <x:si>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</x:si>
  <x:si>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</x:si>
  <x:si>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</x:si>
  <x:si>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</x:si>
  <x:si>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</x:si>
  <x:si>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</x:si>
  <x:si>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</x:si>
  <x:si>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</x:si>
  <x:si>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</x:si>
  <x:si>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</x:si>
  <x:si>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</x:si>
  <x:si>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</x:si>
  <x:si>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</x:si>
  <x:si>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</x:si>
  <x:si>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</x:si>
  <x:si>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</x:si>
  <x:si>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</x:si>
  <x:si>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</x:si>
  <x:si>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</x:si>
  <x:si>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</x:si>
  <x:si>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</x:si>
  <x:si>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</x:si>
  <x:si>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</x:si>
  <x:si>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</x:si>
  <x:si>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</x:si>
  <x:si>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</x:si>
  <x:si>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</x:si>
  <x:si>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</x:si>
  <x:si>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</x:si>
  <x:si>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</x:si>
  <x:si>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</x:si>
  <x:si>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</x:si>
  <x:si>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</x:si>
  <x:si>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</x:si>
  <x:si>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</x:si>
  <x:si>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</x:si>
  <x:si>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</x:si>
  <x:si>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</x:si>
  <x:si>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</x:si>
  <x:si>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</x:si>
  <x:si>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</x:si>
  <x:si>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</x:si>
  <x:si>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</x:si>
  <x:si>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</x:si>
  <x:si>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</x:si>
  <x:si>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</x:si>
  <x:si>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</x:si>
  <x:si>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</x:si>
  <x:si>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</x:si>
  <x:si>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</x:si>
  <x:si>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</x:si>
  <x:si>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</x:si>
  <x:si>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</x:si>
  <x:si>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</x:si>
  <x:si>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</x:si>
  <x:si>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</x:si>
  <x:si>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</x:si>
  <x:si>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</x:si>
  <x:si>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</x:si>
  <x:si>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</x:si>
  <x:si>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</x:si>
  <x:si>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</x:si>
  <x:si>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</x:si>
  <x:si>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</x:si>
  <x:si>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</x:si>
  <x:si>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</x:si>
  <x:si>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</x:si>
  <x:si>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</x:si>
  <x:si>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</x:si>
  <x:si>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</x:si>
  <x:si>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</x:si>
  <x:si>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</x:si>
  <x:si>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</x:si>
  <x:si>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</x:si>
  <x:si>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</x:si>
  <x:si>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</x:si>
  <x:si>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</x:si>
  <x:si>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</x:si>
  <x:si>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</x:si>
  <x:si>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</x:si>
  <x:si>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</x:si>
  <x:si>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</x:si>
  <x:si>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</x:si>
  <x:si>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</x:si>
  <x:si>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</x:si>
  <x:si>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</x:si>
  <x:si>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</x:si>
  <x:si>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</x:si>
  <x:si>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</x:si>
  <x:si>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</x:si>
  <x:si>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</x:si>
  <x:si>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</x:si>
  <x:si>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</x:si>
  <x:si>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</x:si>
  <x:si>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</x:si>
  <x:si>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</x:si>
  <x:si>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</x:si>
  <x:si>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</x:si>
  <x:si>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</x:si>
  <x:si>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</x:si>
  <x:si>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</x:si>
  <x:si>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</x:si>
  <x:si>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</x:si>
  <x:si>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</x:si>
  <x:si>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</x:si>
  <x:si>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</x:si>
  <x:si>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</x:si>
  <x:si>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</x:si>
  <x:si>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</x:si>
  <x:si>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</x:si>
  <x:si>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</x:si>
  <x:si>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</x:si>
  <x:si>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</x:si>
  <x:si>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</x:si>
  <x:si>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</x:si>
  <x:si>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</x:si>
  <x:si>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</x:si>
  <x:si>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</x:si>
  <x:si>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</x:si>
  <x:si>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</x:si>
  <x:si>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</x:si>
  <x:si>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</x:si>
  <x:si>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</x:si>
  <x:si>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</x:si>
  <x:si>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</x:si>
  <x:si>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</x:si>
  <x:si>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</x:si>
  <x:si>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</x:si>
  <x:si>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</x:si>
  <x:si>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</x:si>
  <x:si>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</x:si>
  <x:si>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</x:si>
  <x:si>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</x:si>
  <x:si>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</x:si>
  <x:si>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</x:si>
  <x:si>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</x:si>
  <x:si>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</x:si>
  <x:si>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</x:si>
  <x:si>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</x:si>
  <x:si>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</x:si>
  <x:si>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</x:si>
  <x:si>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</x:si>
  <x:si>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</x:si>
  <x:si>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</x:si>
  <x:si>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</x:si>
  <x:si>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</x:si>
  <x:si>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</x:si>
  <x:si>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</x:si>
  <x:si>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</x:si>
  <x:si>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</x:si>
  <x:si>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</x:si>
  <x:si>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Supporting Evidence / Deployment</x:t>
  </x:si>
  <x:si>
    <x:t xml:space="preserve">This entry supplies tests, documentation, migration, or deployment evidence and does not independently add end-user behavior.</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</x:si>
  <x:si>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</x:si>
  <x:si>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</x:si>
  <x:si>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</x:si>
  <x:si>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</x:si>
  <x:si>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</x:si>
  <x:si>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</x:si>
  <x:si>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</x:si>
  <x:si>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</x:si>
  <x:si>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</x:si>
  <x:si>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</x:si>
  <x:si>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</x:si>
  <x:si>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</x:si>
  <x:si>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</x:si>
  <x:si>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</x:si>
  <x:si>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</x:si>
  <x:si>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</x:si>
  <x:si>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</x:si>
  <x:si>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</x:si>
  <x:si>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</x:si>
  <x:si>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</x:si>
  <x:si>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</x:si>
  <x:si>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</x:si>
  <x:si>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</x:si>
  <x:si>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</x:si>
  <x:si>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</x:si>
  <x:si>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</x:si>
  <x:si>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</x:si>
  <x:si>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</x:si>
  <x:si>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</x:si>
  <x:si>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</x:si>
  <x:si>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</x:si>
  <x:si>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</x:si>
  <x:si>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</x:si>
  <x:si>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</x:si>
  <x:si>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</x:si>
  <x:si>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</x:si>
  <x:si>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</x:si>
  <x:si>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</x:si>
  <x:si>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</x:si>
  <x:si>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</x:si>
  <x:si>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</x:si>
  <x:si>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</x:si>
  <x:si>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</x:si>
  <x:si>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</x:si>
  <x:si>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</x:si>
  <x:si>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</x:si>
  <x:si>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</x:si>
  <x:si>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</x:si>
  <x:si>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</x:si>
  <x:si>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</x:si>
  <x:si>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</x:si>
  <x:si>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</x:si>
  <x:si>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</x:si>
  <x:si>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</x:si>
  <x:si>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</x:si>
  <x:si>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</x:si>
  <x:si>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</x:si>
  <x:si>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</x:si>
  <x:si>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</x:si>
  <x:si>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</x:si>
  <x:si>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</x:si>
  <x:si>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</x:si>
  <x:si>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</x:si>
  <x:si>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</x:si>
  <x:si>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</x:si>
  <x:si>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</x:si>
  <x:si>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</x:si>
  <x:si>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</x:si>
  <x:si>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</x:si>
  <x:si>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</x:si>
  <x:si>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</x:si>
  <x:si>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</x:si>
  <x:si>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</x:si>
  <x:si>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</x:si>
  <x:si>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</x:si>
  <x:si>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</x:si>
  <x:si>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</x:si>
  <x:si>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</x:si>
  <x:si>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</x:si>
  <x:si>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</x:si>
  <x:si>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</x:si>
  <x:si>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</x:si>
  <x:si>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</x:si>
  <x:si>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</x:si>
  <x:si>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</x:si>
  <x:si>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</x:si>
  <x:si>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</x:si>
  <x:si>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</x:si>
  <x:si>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</x:si>
  <x:si>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</x:si>
  <x:si>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</x:si>
  <x:si>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</x:si>
  <x:si>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</x:si>
  <x:si>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</x:si>
  <x:si>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</x:si>
  <x:si>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</x:si>
  <x:si>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</x:si>
  <x:si>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</x:si>
  <x:si>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</x:si>
  <x:si>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</x:si>
  <x:si>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</x:si>
  <x:si>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</x:si>
  <x:si>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</x:si>
  <x:si>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</x:si>
  <x:si>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</x:si>
  <x:si>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</x:si>
  <x:si>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</x:si>
  <x:si>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</x:si>
  <x:si>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</x:si>
  <x:si>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</x:si>
  <x:si>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</x:si>
  <x:si>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</x:si>
  <x:si>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</x:si>
  <x:si>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</x:si>
  <x:si>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</x:si>
  <x:si>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</x:si>
  <x:si>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</x:si>
  <x:si>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</x:si>
  <x:si>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</x:si>
  <x:si>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</x:si>
  <x:si>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</x:si>
  <x:si>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</x:si>
  <x:si>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</x:si>
  <x:si>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</x:si>
  <x:si>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</x:si>
  <x:si>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</x:si>
  <x:si>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</x:si>
  <x:si>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</x:si>
  <x:si>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</x:si>
  <x:si>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</x:si>
  <x:si>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</x:si>
  <x:si>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</x:si>
  <x:si>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</x:si>
  <x:si>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</x:si>
  <x:si>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</x:si>
  <x:si>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</x:si>
  <x:si>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</x:si>
  <x:si>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</x:si>
  <x:si>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</x:si>
  <x:si>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</x:si>
  <x:si>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</x:si>
  <x:si>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</x:si>
  <x:si>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</x:si>
  <x:si>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</x:si>
  <x:si>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</x:si>
  <x:si>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</x:si>
  <x:si>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</x:si>
  <x:si>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</x:si>
  <x:si>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</x:si>
  <x:si>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</x:si>
  <x:si>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</x:si>
  <x:si>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</x:si>
  <x:si>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</x:si>
  <x:si>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</x:si>
  <x:si>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</x:si>
  <x:si>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</x:si>
  <x:si>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</x:si>
  <x:si>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</x:si>
  <x:si>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</x:si>
  <x:si>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</x:si>
  <x:si>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</x:si>
  <x:si>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</x:si>
  <x:si>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</x:si>
  <x:si>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</x:si>
  <x:si>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</x:si>
  <x:si>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</x:si>
  <x:si>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</x:si>
  <x:si>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</x:si>
  <x:si>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</x:si>
  <x:si>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</x:si>
  <x:si>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</x:si>
  <x:si>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</x:si>
  <x:si>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</x:si>
  <x:si>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</x:si>
  <x:si>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</x:si>
  <x:si>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</x:si>
  <x:si>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</x:si>
  <x:si>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</x:si>
  <x:si>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</x:si>
  <x:si>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</x:si>
  <x:si>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</x:si>
  <x:si>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</x:si>
  <x:si>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</x:si>
  <x:si>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</x:si>
  <x:si>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</x:si>
  <x:si>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</x:si>
  <x:si>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</x:si>
  <x:si>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</x:si>
  <x:si>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</x:si>
  <x:si>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</x:si>
  <x:si>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</x:si>
  <x:si>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</x:si>
  <x:si>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</x:si>
  <x:si>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</x:si>
  <x:si>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</x:si>
  <x:si>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</x:si>
  <x:si>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</x:si>
  <x:si>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</x:si>
  <x:si>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</x:si>
  <x:si>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</x:si>
  <x:si>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</x:si>
  <x:si>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</x:si>
  <x:si>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</x:si>
  <x:si>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</x:si>
  <x:si>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</x:si>
  <x:si>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</x:si>
  <x:si>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</x:si>
  <x:si>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</x:si>
  <x:si>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</x:si>
  <x:si>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</x:si>
  <x:si>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</x:si>
  <x:si>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</x:si>
  <x:si>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</x:si>
  <x:si>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Phase 2 — Fabric Identity</x:t>
  </x:si>
  <x:si>
    <x:t xml:space="preserve">SEC-02; SEC-06; SEC-08; identity-bound FRs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</x:si>
  <x:si>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</x:si>
  <x:si>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</x:si>
  <x:si>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</x:si>
  <x:si>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</x:si>
  <x:si>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</x:si>
  <x:si>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</x:si>
  <x:si>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</x:si>
  <x:si>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</x:si>
  <x:si>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</x:si>
  <x:si>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</x:si>
  <x:si>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</x:si>
  <x:si>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</x:si>
  <x:si>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</x:si>
  <x:si>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</x:si>
  <x:si>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</x:si>
  <x:si>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</x:si>
  <x:si>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</x:si>
  <x:si>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</x:si>
  <x:si>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</x:si>
  <x:si>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</x:si>
  <x:si>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</x:si>
  <x:si>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</x:si>
  <x:si>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</x:si>
  <x:si>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</x:si>
  <x:si>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</x:si>
  <x:si>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</x:si>
  <x:si>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</x:si>
  <x:si>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</x:si>
  <x:si>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</x:si>
  <x:si>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</x:si>
  <x:si>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</x:si>
  <x:si>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</x:si>
  <x:si>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</x:si>
  <x:si>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</x:si>
  <x:si>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</x:si>
  <x:si>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</x:si>
  <x:si>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</x:si>
  <x:si>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</x:si>
  <x:si>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</x:si>
  <x:si>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</x:si>
  <x:si>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</x:si>
  <x:si>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</x:si>
  <x:si>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</x:si>
  <x:si>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</x:si>
  <x:si>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</x:si>
  <x:si>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</x:si>
  <x:si>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</x:si>
  <x:si>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</x:si>
  <x:si>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</x:si>
  <x:si>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</x:si>
  <x:si>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</x:si>
  <x:si>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</x:si>
  <x:si>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</x:si>
  <x:si>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</x:si>
  <x:si>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</x:si>
  <x:si>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</x:si>
  <x:si>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</x:si>
  <x:si>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</x:si>
  <x:si>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</x:si>
  <x:si>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</x:si>
  <x:si>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</x:si>
  <x:si>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</x:si>
  <x:si>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</x:si>
  <x:si>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</x:si>
  <x:si>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</x:si>
  <x:si>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</x:si>
  <x:si>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</x:si>
  <x:si>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</x:si>
  <x:si>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</x:si>
  <x:si>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</x:si>
  <x:si>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</x:si>
  <x:si>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</x:si>
  <x:si>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</x:si>
  <x:si>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</x:si>
  <x:si>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</x:si>
  <x:si>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</x:si>
  <x:si>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</x:si>
  <x:si>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</x:si>
  <x:si>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</x:si>
  <x:si>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</x:si>
  <x:si>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</x:si>
  <x:si>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</x:si>
  <x:si>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</x:si>
  <x:si>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</x:si>
  <x:si>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</x:si>
  <x:si>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</x:si>
  <x:si>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</x:si>
  <x:si>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P6-01</x:t>
  </x:si>
  <x:si>
    <x:t xml:space="preserve">database/migrations/2026-07-12-phase6-clinical-records.sql; database/dump.sql</x:t>
  </x:si>
  <x:si>
    <x:t xml:space="preserve">Clinical_Record off-chain schema</x:t>
  </x:si>
  <x:si>
    <x:t xml:space="preserve">No authoritative off-chain store existed for complete medical and dental payloads.</x:t>
  </x:si>
  <x:si>
    <x:t xml:space="preserve">Added typed clinical records with JSON payload, SHA-256 hash, creator doctor, timestamps, indexes, and patient foreign key.</x:t>
  </x:si>
  <x:si>
    <x:t xml:space="preserve">Keeps clinical payloads in MySQL while supporting traceable ledger anchors.</x:t>
  </x:si>
  <x:si>
    <x:t xml:space="preserve">Phase 6 — Clinical Record Management</x:t>
  </x:si>
  <x:si>
    <x:t xml:space="preserve">FR-15; FR-17; SEC-08</x:t>
  </x:si>
  <x:si>
    <x:t xml:space="preserve">Required persistence capability was absent.</x:t>
  </x:si>
  <x:si>
    <x:t xml:space="preserve">P6-02</x:t>
  </x:si>
  <x:si>
    <x:t xml:space="preserve">clinical create/read API and validation</x:t>
  </x:si>
  <x:si>
    <x:t xml:space="preserve">No coordinated API accepted complete medical/dental fields or retrieved them for authorized actors.</x:t>
  </x:si>
  <x:si>
    <x:t xml:space="preserve">Added canonical and legacy-alias create/read routes, complete field validation, SHA-256 generation, MySQL persistence, Fabric anchoring, and rollback on anchor failure.</x:t>
  </x:si>
  <x:si>
    <x:t xml:space="preserve">Provides complete doctor entry and authorized patient/doctor retrieval without placing clinical payloads on-chain.</x:t>
  </x:si>
  <x:si>
    <x:t xml:space="preserve">FR-15; FR-16; FR-17; FR-18</x:t>
  </x:si>
  <x:si>
    <x:t xml:space="preserve">Required API workflow was absent.</x:t>
  </x:si>
  <x:si>
    <x:t xml:space="preserve">P6-03</x:t>
  </x:si>
  <x:si>
    <x:t xml:space="preserve">metadata-only clinical transactions</x:t>
  </x:si>
  <x:si>
    <x:t xml:space="preserve">Legacy medical/dental functions accepted full record payloads and did not implement a safe metadata boundary.</x:t>
  </x:si>
  <x:si>
    <x:t xml:space="preserve">Implemented metadata-only medical/dental writes and reads containing record reference, type, SHA-256 hash, patient, and creator.</x:t>
  </x:si>
  <x:si>
    <x:t xml:space="preserve">Preserves immutable evidence while clinical contents remain off-chain.</x:t>
  </x:si>
  <x:si>
    <x:t xml:space="preserve">Repairs legacy methods while adding the required privacy boundary.</x:t>
  </x:si>
  <x:si>
    <x:t xml:space="preserve">P6-04</x:t>
  </x:si>
  <x:si>
    <x:t xml:space="preserve">clinical metadata, access, and audit API</x:t>
  </x:si>
  <x:si>
    <x:t xml:space="preserve">Clinical reads were not consistently enforced at Fabric and did not automatically create immutable access logs.</x:t>
  </x:si>
  <x:si>
    <x:t xml:space="preserve">Added doctor/patient metadata routes with actor-self, assigned-doctor, consent-approved external-doctor, and patient-owner enforcement; approved reads invoke LogClinicalAccess.</x:t>
  </x:si>
  <x:si>
    <x:t xml:space="preserve">Enforces Phase 6 clinical access at the blockchain boundary and records every approved retrieval.</x:t>
  </x:si>
  <x:si>
    <x:t xml:space="preserve">FR-16; FR-18; SEC-02; SEC-06; SEC-08</x:t>
  </x:si>
  <x:si>
    <x:t xml:space="preserve">Required access and audit orchestration was absent.</x:t>
  </x:si>
  <x:si>
    <x:t xml:space="preserve">P6-05</x:t>
  </x:si>
  <x:si>
    <x:t xml:space="preserve">bc-dentistry-frontend/src/assets/components/Patient/ClinicalRecords.jsx; Pages/Patient.jsx</x:t>
  </x:si>
  <x:si>
    <x:t xml:space="preserve">clinical record UI</x:t>
  </x:si>
  <x:si>
    <x:t xml:space="preserve">Patient and doctor screens lacked complete clinical entry and history views.</x:t>
  </x:si>
  <x:si>
    <x:t xml:space="preserve">Added doctor medical/dental entry forms and patient/doctor history display for allergies, labs, medications, treatment phase, procedure, tooth, ceramic, prescriptions, and diagnostics.</x:t>
  </x:si>
  <x:si>
    <x:t xml:space="preserve">Makes the complete Phase 6 workflow available in the existing patient workspace.</x:t>
  </x:si>
  <x:si>
    <x:t xml:space="preserve">Required UI support was absent.</x:t>
  </x:si>
  <x:si>
    <x:t xml:space="preserve">P6-06</x:t>
  </x:si>
  <x:si>
    <x:t xml:space="preserve">dental-backend/test/phase6ClinicalRecords.test.js; chaincode test/dentallRecordSharing_test.js</x:t>
  </x:si>
  <x:si>
    <x:t xml:space="preserve">Phase 6 source test coverage</x:t>
  </x:si>
  <x:si>
    <x:t xml:space="preserve">No tests covered complete fields, off-chain payloads, metadata-only anchors, retrieval, access denial, or audit logging.</x:t>
  </x:si>
  <x:si>
    <x:t xml:space="preserve">Added API/source and direct chaincode tests covering the full medical/dental and authorization contract.</x:t>
  </x:si>
  <x:si>
    <x:t xml:space="preserve">Provides repeatable evidence for all Phase 6 exit criteria.</x:t>
  </x:si>
  <x:si>
    <x:t xml:space="preserve">FR-15; FR-16; FR-17; FR-18; SEC-08</x:t>
  </x:si>
  <x:si>
    <x:t xml:space="preserve">Test evidence was absent.</x:t>
  </x:si>
  <x:si>
    <x:t xml:space="preserve">P6-07</x:t>
  </x:si>
  <x:si>
    <x:t xml:space="preserve">dentalRecordSharing.js LogClinicalAccess</x:t>
  </x:si>
  <x:si>
    <x:t xml:space="preserve">deterministic immutable audit timestamp</x:t>
  </x:si>
  <x:si>
    <x:t xml:space="preserve">Initial deployment used wall-clock time, causing multi-endorser write-set mismatch.</x:t>
  </x:si>
  <x:si>
    <x:t xml:space="preserve">Changed access-log timestamps to the Fabric transaction timestamp and redeployed the corrected chaincode.</x:t>
  </x:si>
  <x:si>
    <x:t xml:space="preserve">Makes automatic clinical access logging deterministic and endorsable across organizations.</x:t>
  </x:si>
  <x:si>
    <x:t xml:space="preserve">FR-18; SEC-08</x:t>
  </x:si>
  <x:si>
    <x:t xml:space="preserve">Runtime defect found and corrected during AWS smoke testing.</x:t>
  </x:si>
  <x:si>
    <x:t xml:space="preserve">P6-08</x:t>
  </x:si>
  <x:si>
    <x:t xml:space="preserve">Outputs/SRS_Compliance_Base/Phase6_Clinical_Records_Deployment.md; base docs; EDR_Remediation_Change_Log.md</x:t>
  </x:si>
  <x:si>
    <x:t xml:space="preserve">Phase 6 design and traceability</x:t>
  </x:si>
  <x:si>
    <x:t xml:space="preserve">Clinical storage, API, access, audit, deployment, and verification evidence were not documented.</x:t>
  </x:si>
  <x:si>
    <x:t xml:space="preserve">Documented architecture, metadata boundary, migration, API/UI behavior, AWS sequence, smoke evidence, and remaining operational notes.</x:t>
  </x:si>
  <x:si>
    <x:t xml:space="preserve">Makes the implementation and compliance evidence auditable.</x:t>
  </x:si>
  <x:si>
    <x:t xml:space="preserve">Required documentation evidence.</x:t>
  </x:si>
  <x:si>
    <x:t xml:space="preserve">P6-09</x:t>
  </x:si>
  <x:si>
    <x:t xml:space="preserve">.deployment/phase6-completion-deploy.sh; .deployment/phase6-completion-smoke.js; AWS /home/ubuntu/EDR</x:t>
  </x:si>
  <x:si>
    <x:t xml:space="preserve">AWS Phase 6 deployment and smoke verification</x:t>
  </x:si>
  <x:si>
    <x:t xml:space="preserve">Phase 6 had not been migrated, deployed, or exercised end to end.</x:t>
  </x:si>
  <x:si>
    <x:t xml:space="preserve">Backed up the VM, applied migration, committed basic 1.0.7 sequence 9 with both MSP approvals, rebuilt/restarted APIs, built/deployed UI, and passed create/read/access/audit smoke checks.</x:t>
  </x:si>
  <x:si>
    <x:t xml:space="preserve">Proves complete medical/dental entry, authorized retrieval, unauthorized denial, and immutable automatic access logging on AWS.</x:t>
  </x:si>
  <x:si>
    <x:t xml:space="preserve">Executed AWS deployment evidence.</x:t>
  </x:si>
  <x:si>
    <x:t xml:space="preserve">P7-01</x:t>
  </x:si>
  <x:si>
    <x:t xml:space="preserve">dental-backend/index.js; radiographicIntegrity.js</x:t>
  </x:si>
  <x:si>
    <x:t xml:space="preserve">POST /radiographic-files; integrity helpers</x:t>
  </x:si>
  <x:si>
    <x:t xml:space="preserve">No off-chain upload or SHA-256 binary workflow existed.</x:t>
  </x:si>
  <x:si>
    <x:t xml:space="preserve">Added doctor-only raw binary upload, UUID filesystem keys, configurable size/root, streaming SHA-256, and rollback when Fabric anchoring fails.</x:t>
  </x:si>
  <x:si>
    <x:t xml:space="preserve">Creates the off-chain file safely and binds its exact bytes to a digest.</x:t>
  </x:si>
  <x:si>
    <x:t xml:space="preserve">Phase 7 — DICOM And Integrity</x:t>
  </x:si>
  <x:si>
    <x:t xml:space="preserve">FR-19; SEC-04</x:t>
  </x:si>
  <x:si>
    <x:t xml:space="preserve">Required upload and hashing capability was absent.</x:t>
  </x:si>
  <x:si>
    <x:t xml:space="preserve">P7-02</x:t>
  </x:si>
  <x:si>
    <x:t xml:space="preserve">AddDentalFileMetadata; GetDentalFile; getDentalFiles</x:t>
  </x:si>
  <x:si>
    <x:t xml:space="preserve">Legacy addDentalFile accepted only CID metadata and no integrity hash.</x:t>
  </x:si>
  <x:si>
    <x:t xml:space="preserve">Added metadata-only file transactions with SHA-256 validation, opaque references, and Phase 6 patient record access enforcement; disabled legacy unhashed writes.</x:t>
  </x:si>
  <x:si>
    <x:t xml:space="preserve">Prevents file contents from entering Fabric while preserving immutable integrity evidence.</x:t>
  </x:si>
  <x:si>
    <x:t xml:space="preserve">Repairs a partial legacy path and adds the required security guarantee.</x:t>
  </x:si>
  <x:si>
    <x:t xml:space="preserve">P7-03</x:t>
  </x:si>
  <x:si>
    <x:t xml:space="preserve">GET file list; GET verify-integrity</x:t>
  </x:si>
  <x:si>
    <x:t xml:space="preserve">No API compared current off-chain bytes with on-chain metadata.</x:t>
  </x:si>
  <x:si>
    <x:t xml:space="preserve">Added access-controlled metadata listing and verification returning verified, mismatch, missing file, or unknown.</x:t>
  </x:si>
  <x:si>
    <x:t xml:space="preserve">Provides explicit integrity outcomes without exposing the stored binary.</x:t>
  </x:si>
  <x:si>
    <x:t xml:space="preserve">FR-20; SEC-04</x:t>
  </x:si>
  <x:si>
    <x:t xml:space="preserve">Required verification service was absent.</x:t>
  </x:si>
  <x:si>
    <x:t xml:space="preserve">P7-04</x:t>
  </x:si>
  <x:si>
    <x:t xml:space="preserve">bc-dentistry-frontend/src/assets/components/Patient/RadiographicFiles.jsx; Pages/Patient.jsx</x:t>
  </x:si>
  <x:si>
    <x:t xml:space="preserve">patient radiographic integrity panel</x:t>
  </x:si>
  <x:si>
    <x:t xml:space="preserve">Patient detail had only a hard-coded sample DICOM viewer and no real metadata/status workflow.</x:t>
  </x:si>
  <x:si>
    <x:t xml:space="preserve">Added patient/doctor/admin metadata list, integrity status badges, verification action, and doctor upload control.</x:t>
  </x:si>
  <x:si>
    <x:t xml:space="preserve">Makes Phase 7 integrity evidence visible in the existing patient workflow.</x:t>
  </x:si>
  <x:si>
    <x:t xml:space="preserve">FR-19; FR-20</x:t>
  </x:si>
  <x:si>
    <x:t xml:space="preserve">P7-05</x:t>
  </x:si>
  <x:si>
    <x:t xml:space="preserve">RADIOGRAPHIC_STORAGE_ROOT; RADIOGRAPHIC_MAX_FILE_BYTES</x:t>
  </x:si>
  <x:si>
    <x:t xml:space="preserve">Large-file storage location and upload ceiling were undefined.</x:t>
  </x:si>
  <x:si>
    <x:t xml:space="preserve">Added configurable private filesystem root and a 512 MiB default maximum.</x:t>
  </x:si>
  <x:si>
    <x:t xml:space="preserve">Separates persistent clinical file storage from source code and makes capacity policy explicit.</x:t>
  </x:si>
  <x:si>
    <x:t xml:space="preserve">Required operational storage configuration was absent.</x:t>
  </x:si>
  <x:si>
    <x:t xml:space="preserve">P7-06</x:t>
  </x:si>
  <x:si>
    <x:t xml:space="preserve">dental-backend/test/phase7DicomIntegrity.test.js; chaincode test/dentallRecordSharing_test.js</x:t>
  </x:si>
  <x:si>
    <x:t xml:space="preserve">Phase 7 source tests</x:t>
  </x:si>
  <x:si>
    <x:t xml:space="preserve">No upload/hash/integrity/tamper/missing/unauthorized tests existed.</x:t>
  </x:si>
  <x:si>
    <x:t xml:space="preserve">Added functional SHA-256 success, mismatch, missing, and unknown tests plus metadata-only, route, assigned-doctor, and unauthorized-doctor checks.</x:t>
  </x:si>
  <x:si>
    <x:t xml:space="preserve">Provides repeatable source evidence for all Phase 7 failure states and access controls.</x:t>
  </x:si>
  <x:si>
    <x:t xml:space="preserve">FR-19; FR-20; SEC-04</x:t>
  </x:si>
  <x:si>
    <x:t xml:space="preserve">Test evidence was absent; AWS execution remains pending.</x:t>
  </x:si>
  <x:si>
    <x:t xml:space="preserve">P7-07</x:t>
  </x:si>
  <x:si>
    <x:t xml:space="preserve">Outputs/SRS_Compliance_Base/Phase7_DICOM_Storage_And_Deployment.md; base docs; EDR_Remediation_Change_Log.md</x:t>
  </x:si>
  <x:si>
    <x:t xml:space="preserve">storage decision and source checkpoint</x:t>
  </x:si>
  <x:si>
    <x:t xml:space="preserve">Storage tradeoffs, API contract, deployment gate, and Phase 7 status were not documented.</x:t>
  </x:si>
  <x:si>
    <x:t xml:space="preserve">Documented private filesystem rationale, metadata boundary, API headers/statuses, AWS steps, source completion, and pending deployment evidence.</x:t>
  </x:si>
  <x:si>
    <x:t xml:space="preserve">Makes architecture and execution boundaries auditable without claiming unexecuted AWS work.</x:t>
  </x:si>
  <x:si>
    <x:t xml:space="preserve">Required design and traceability documentation.</x:t>
  </x:si>
  <x:si>
    <x:t xml:space="preserve">P7-08</x:t>
  </x:si>
  <x:si>
    <x:t xml:space="preserve">.deployment/phase7-deploy.sh; phase7-smoke.js; AWS /home/ubuntu/EDR</x:t>
  </x:si>
  <x:si>
    <x:t xml:space="preserve">AWS Phase 7 deployment and smoke verification</x:t>
  </x:si>
  <x:si>
    <x:t xml:space="preserve">Phase 7 source was not deployed and persistent radiographic storage was not configured.</x:t>
  </x:si>
  <x:si>
    <x:t xml:space="preserve">Created two backups, configured /var/lib/edr/radiographic-files mode 0700, committed basic 1.0.5 sequence 7 with both MSP approvals, restarted API, built/deployed UI, and passed upload/verified/patient/admin/unauthorized/mismatch/missing smoke checks.</x:t>
  </x:si>
  <x:si>
    <x:t xml:space="preserve">Proves the complete FR-19/FR-20/SEC-04 workflow on the AWS test system without storing file bytes on-chain.</x:t>
  </x:si>
  <x:si>
    <x:t xml:space="preserve">Executed AWS deployment evidence; no MySQL migration was required.</x:t>
  </x:si>
  <x:si>
    <x:t xml:space="preserve">P7A-01</x:t>
  </x:si>
  <x:si>
    <x:t xml:space="preserve">legacy Appointment and Doctor list routes</x:t>
  </x:si>
  <x:si>
    <x:t xml:space="preserve">Legacy compatibility routes returned unscoped global appointment and doctor database rows to broad authenticated roles.</x:t>
  </x:si>
  <x:si>
    <x:t xml:space="preserve">Replaced global SELECT queries with JWT-derived admin-clinic, doctor-self, and patient-self predicates and explicit response fields/DTOs.</x:t>
  </x:si>
  <x:si>
    <x:t xml:space="preserve">Prevents cross-clinic and cross-actor enumeration from the web compatibility APIs.</x:t>
  </x:si>
  <x:si>
    <x:t xml:space="preserve">Phase 7A — Web Frontend Stabilization</x:t>
  </x:si>
  <x:si>
    <x:t xml:space="preserve">SEC-01; SEC-06; FR-11; FR-29</x:t>
  </x:si>
  <x:si>
    <x:t xml:space="preserve">Existing authenticated routes were unsafe because tenant and actor scope was missing.</x:t>
  </x:si>
  <x:si>
    <x:t xml:space="preserve">P7A-02</x:t>
  </x:si>
  <x:si>
    <x:t xml:space="preserve">doctor-authorized patient detail and assigned-patient list</x:t>
  </x:si>
  <x:si>
    <x:t xml:space="preserve">The doctor web list received metadata-only ledger records and patient detail depended on a broad client path.</x:t>
  </x:si>
  <x:si>
    <x:t xml:space="preserve">Added a parameter-free doctor self list that revalidates Fabric actor binding, filters MySQL by assigned doctor, and permits patient detail only for assigned doctors.</x:t>
  </x:si>
  <x:si>
    <x:t xml:space="preserve">Makes the Phase 4-7 patient, clinical, and DICOM work usable from the doctor web frontend without weakening assignment controls.</x:t>
  </x:si>
  <x:si>
    <x:t xml:space="preserve">FR-13; FR-15; FR-16; FR-17; FR-19; SEC-03; SEC-06</x:t>
  </x:si>
  <x:si>
    <x:t xml:space="preserve">A complete authorized web projection of the implemented backend data did not exist.</x:t>
  </x:si>
  <x:si>
    <x:t xml:space="preserve">P7A-03</x:t>
  </x:si>
  <x:si>
    <x:t xml:space="preserve">bc-dentistry-frontend/src/App.jsx; assets/components/ProtectedRoute.jsx; assets/utils/auth.js; assets/Sections/Topbar.jsx</x:t>
  </x:si>
  <x:si>
    <x:t xml:space="preserve">web route and session boundary</x:t>
  </x:si>
  <x:si>
    <x:t xml:space="preserve">Clinical routes rendered without a central authentication boundary, token expiry handling, unauthorized routing, or logout.</x:t>
  </x:si>
  <x:si>
    <x:t xml:space="preserve">Added protected role routes, JWT expiry validation, centralized session clearing, unauthorized handling, periodic expiry refresh, and explicit logout.</x:t>
  </x:si>
  <x:si>
    <x:t xml:space="preserve">Prevents stale or absent sessions from rendering clinical application routes and gives shared-workstation users a safe exit.</x:t>
  </x:si>
  <x:si>
    <x:t xml:space="preserve">SEC-01; SEC-06; Section 6.5 usability</x:t>
  </x:si>
  <x:si>
    <x:t xml:space="preserve">Required web session and route controls were absent.</x:t>
  </x:si>
  <x:si>
    <x:t xml:space="preserve">P7A-04</x:t>
  </x:si>
  <x:si>
    <x:t xml:space="preserve">bc-dentistry-frontend patient/login/navigation components</x:t>
  </x:si>
  <x:si>
    <x:t xml:space="preserve">patient visibility and production data handling</x:t>
  </x:si>
  <x:si>
    <x:t xml:space="preserve">Patient screens logged identity/payload details, doctors received incomplete cards, patient detail used a misleading client sharing check, and login exposed a non-authoritative role selector/signup path.</x:t>
  </x:si>
  <x:si>
    <x:t xml:space="preserve">Switched patient screens to scoped Database API projections, removed the client security decision and public signup/role selector, added explicit loading/error states, and stripped console/debug statements from production builds.</x:t>
  </x:si>
  <x:si>
    <x:t xml:space="preserve">Makes deployed Phase 4-7 workflows usable and reduces browser-side disclosure or misleading authorization behavior.</x:t>
  </x:si>
  <x:si>
    <x:t xml:space="preserve">FR-05 to FR-20; SEC-01; SEC-03; SEC-06</x:t>
  </x:si>
  <x:si>
    <x:t xml:space="preserve">Repairs existing views while completing the safe integration of already implemented workflows.</x:t>
  </x:si>
  <x:si>
    <x:t xml:space="preserve">P7A-05</x:t>
  </x:si>
  <x:si>
    <x:t xml:space="preserve">bc-dentistry-frontend dashboard, LabResults, Settings, Info, Navbar</x:t>
  </x:si>
  <x:si>
    <x:t xml:space="preserve">placeholder and dead-end web workflows</x:t>
  </x:si>
  <x:si>
    <x:t xml:space="preserve">Dashboard appointment metrics and lab results presented local/sample data; Settings and Info were blank; secondary navigation did not route correctly.</x:t>
  </x:si>
  <x:si>
    <x:t xml:space="preserve">Dashboard now uses scoped appointment data, sample lab results are explicitly disabled, account/info pages are meaningful, navigation is routed, and unavailable data is labeled instead of fabricated.</x:t>
  </x:si>
  <x:si>
    <x:t xml:space="preserve">Prevents demo information from being mistaken for clinical truth and removes dead-end web navigation.</x:t>
  </x:si>
  <x:si>
    <x:t xml:space="preserve">FR-29; Section 6.5 usability; SEC-03</x:t>
  </x:si>
  <x:si>
    <x:t xml:space="preserve">Existing visible behavior was misleading or non-functional.</x:t>
  </x:si>
  <x:si>
    <x:t xml:space="preserve">P7A-06</x:t>
  </x:si>
  <x:si>
    <x:t xml:space="preserve">bc-dentistry-frontend/.eslintrc.cjs; vite.config.js; src/index.css; package.json</x:t>
  </x:si>
  <x:si>
    <x:t xml:space="preserve">frontend quality and production configuration</x:t>
  </x:si>
  <x:si>
    <x:t xml:space="preserve">ESLint could not load, production retained console statements, font URLs were unresolved, all routes were eager, and CSS applied global transitions.</x:t>
  </x:si>
  <x:si>
    <x:t xml:space="preserve">Repaired the ESLint configuration, added frontend tests, strips production console/debug statements, corrected local font URLs, removed unsafe global transitions/remote login image, and lazy-loads patient detail.</x:t>
  </x:si>
  <x:si>
    <x:t xml:space="preserve">Restores repeatable quality checks, reduces production disclosure and bundle cost, and removes external login-page dependency.</x:t>
  </x:si>
  <x:si>
    <x:t xml:space="preserve">SEC-03; Section 6.5 usability; supporting NFR reliability</x:t>
  </x:si>
  <x:si>
    <x:t xml:space="preserve">Frontend quality controls and runtime asset configuration were defective.</x:t>
  </x:si>
  <x:si>
    <x:t xml:space="preserve">P7A-07</x:t>
  </x:si>
  <x:si>
    <x:t xml:space="preserve">docker-compose.yml; bc-dentistry-frontend/Dockerfile; nginx.conf; .dockerignore</x:t>
  </x:si>
  <x:si>
    <x:t xml:space="preserve">containerized web delivery and same-origin API proxy</x:t>
  </x:si>
  <x:si>
    <x:t xml:space="preserve">The active Compose stack had no frontend service and browser builds depended on host-local API ports.</x:t>
  </x:si>
  <x:si>
    <x:t xml:space="preserve">Added a multi-stage Node/Nginx frontend image, SPA routing, same-origin Database/Blockchain API proxies, health check, Compose service, and explicit Fabric host exception.</x:t>
  </x:si>
  <x:si>
    <x:t xml:space="preserve">Makes the web application reproducibly deliverable by Compose while retaining the documented Fabric tooling boundary.</x:t>
  </x:si>
  <x:si>
    <x:t xml:space="preserve">Architecture; reliability; SEC-01; Phase 11 partial</x:t>
  </x:si>
  <x:si>
    <x:t xml:space="preserve">A required non-Fabric application service was absent from Compose.</x:t>
  </x:si>
  <x:si>
    <x:t xml:space="preserve">P7A-08</x:t>
  </x:si>
  <x:si>
    <x:t xml:space="preserve">dental-backend/test/phase7AFrontendStabilization.test.js; bc-dentistry-frontend/test/phase7AFrontendStabilization.test.js; local verification</x:t>
  </x:si>
  <x:si>
    <x:t xml:space="preserve">Phase 7A source verification</x:t>
  </x:si>
  <x:si>
    <x:t xml:space="preserve">No focused regression tests protected appointment/doctor scoping, assigned-patient projection, route guards, session expiry, or demo-data removal.</x:t>
  </x:si>
  <x:si>
    <x:t xml:space="preserve">Added 4 API/source and 4 frontend tests; all 24 combined API/source tests and all 4 frontend tests pass, along with backend syntax, frontend lint, production build, Compose config, and HTTP 200 bundle serving.</x:t>
  </x:si>
  <x:si>
    <x:t xml:space="preserve">Provides repeatable source evidence for the Phase 7A stabilization gate.</x:t>
  </x:si>
  <x:si>
    <x:t xml:space="preserve">SEC-01; SEC-03; SEC-06; FR-05 to FR-20; FR-29</x:t>
  </x:si>
  <x:si>
    <x:t xml:space="preserve">Source verification evidence was absent; live Docker/AWS rollout remains separate.</x:t>
  </x:si>
  <x:si>
    <x:t xml:space="preserve">P7A-09</x:t>
  </x:si>
  <x:si>
    <x:t xml:space="preserve">Outputs/SRS_Compliance_Base frontend audit, roadmap, matrix, checklist, startup context; EDR_Remediation_Change_Log.md</x:t>
  </x:si>
  <x:si>
    <x:t xml:space="preserve">Phase 7A planning and evidence</x:t>
  </x:si>
  <x:si>
    <x:t xml:space="preserve">The roadmap did not contain a frontend stabilization gate and the comprehensive frontend findings were not routed into phase tracking.</x:t>
  </x:si>
  <x:si>
    <x:t xml:space="preserve">Added Phase 7A between Phases 7 and 8 and synchronized implementation status, evidence, remaining runtime gates, and the completed-fix record.</x:t>
  </x:si>
  <x:si>
    <x:t xml:space="preserve">Keeps future remediation work aligned to the verified frontend state without renumbering existing phases.</x:t>
  </x:si>
  <x:si>
    <x:t xml:space="preserve">Client readiness; traceability; Section 8 evidence</x:t>
  </x:si>
  <x:si>
    <x:t xml:space="preserve">Required traceability and handoff evidence.</x:t>
  </x:si>
  <x:si>
    <x:t xml:space="preserve">P7A-10</x:t>
  </x:si>
  <x:si>
    <x:t xml:space="preserve">AWS /home/ubuntu/EDR; /var/www/edr; Nginx; Docker Database API; PM2 Blockchain API</x:t>
  </x:si>
  <x:si>
    <x:t xml:space="preserve">Phase 7A AWS deployment and authenticated runtime verification</x:t>
  </x:si>
  <x:si>
    <x:t xml:space="preserve">Phase 7A source fixes had not yet been published or exercised against the live runtime topology.</x:t>
  </x:si>
  <x:si>
    <x:t xml:space="preserve">Backed up the VM, fast-forwarded to d6ecc1b, rebuilt the Database API, rebuilt/copied the frontend to Nginx, validated services/proxy health, and passed authenticated admin/doctor/patient scoped-data smoke checks.</x:t>
  </x:si>
  <x:si>
    <x:t xml:space="preserve">Proves the frontend stabilization fixes are live in the accepted AWS topology and that patient/doctor/appointment visibility boundaries operate with deployed identity data.</x:t>
  </x:si>
  <x:si>
    <x:t xml:space="preserve">SEC-01; SEC-03; SEC-06; FR-03; FR-04; FR-13; FR-29</x:t>
  </x:si>
  <x:si>
    <x:t xml:space="preserve">Backup /home/ubuntu/deployment-backups/20260713-075154-phase7a-predeploy; PHASE7A_AUTHENTICATED_SMOKE_OK and PHASE7A_FINAL_VERIFY_OK.</x:t>
  </x:si>
  <x:si>
    <x:t xml:space="preserve">P7A-11</x:t>
  </x:si>
  <x:si>
    <x:t xml:space="preserve">bc-dentistry-frontend/src/assets/Sections/Appointments/AppointmentsSection.jsx; test/phase7AFrontendStabilization.test.js</x:t>
  </x:si>
  <x:si>
    <x:t xml:space="preserve">appointments response envelope rendering</x:t>
  </x:si>
  <x:si>
    <x:t xml:space="preserve">The deployed appointments API returned { success, data }, but the page stored the envelope object and called .map() on it, causing a blank white page and browser exception.</x:t>
  </x:si>
  <x:si>
    <x:t xml:space="preserve">Unwrapped and validated data.data, added centralized 401 handling plus loading/error/empty states, and added a regression preventing direct envelope assignment.</x:t>
  </x:si>
  <x:si>
    <x:t xml:space="preserve">Restores the deployed appointments page and prevents API-shape errors from crashing the entire React route.</x:t>
  </x:si>
  <x:si>
    <x:t xml:space="preserve">FR-29; SEC-01; Section 6.5 usability</x:t>
  </x:si>
  <x:si>
    <x:t xml:space="preserve">Commit 767400d; standalone Playwright reproduced e.map is not a function before deployment and verified zero page/console errors after deployment.</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</x:si>
  <x:si>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</x:si>
  <x:si>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</x:si>
  <x:si>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</x:si>
  <x:si>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</x:si>
  <x:si>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</x:si>
  <x:si>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</x:si>
  <x:si>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</x:si>
  <x:si>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</x:si>
  <x:si>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</x:si>
  <x:si>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</x:si>
  <x:si>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</x:si>
  <x:si>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</x:si>
  <x:si>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</x:si>
  <x:si>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</x:si>
  <x:si>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</x:si>
  <x:si>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</x:si>
  <x:si>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</x:si>
  <x:si>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</x:si>
  <x:si>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</x:si>
  <x:si>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</x:si>
  <x:si>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</x:si>
  <x:si>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</x:si>
  <x:si>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</x:si>
  <x:si>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</x:si>
  <x:si>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</x:si>
  <x:si>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</x:si>
  <x:si>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</x:si>
  <x:si>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</x:si>
  <x:si>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</x:si>
  <x:si>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</x:si>
  <x:si>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</x:si>
  <x:si>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</x:si>
  <x:si>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</x:si>
  <x:si>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</x:si>
  <x:si>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</x:si>
  <x:si>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</x:si>
  <x:si>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</x:si>
  <x:si>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</x:si>
  <x:si>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</x:si>
  <x:si>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</x:si>
  <x:si>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</x:si>
  <x:si>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</x:si>
  <x:si>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</x:si>
  <x:si>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</x:si>
  <x:si>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</x:si>
  <x:si>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</x:si>
  <x:si>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</x:si>
  <x:si>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</x:si>
  <x:si>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</x:si>
  <x:si>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</x:si>
  <x:si>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</x:si>
  <x:si>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</x:si>
  <x:si>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</x:si>
  <x:si>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</x:si>
  <x:si>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</x:si>
  <x:si>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</x:si>
  <x:si>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</x:si>
  <x:si>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</x:si>
  <x:si>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</x:si>
  <x:si>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</x:si>
  <x:si>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</x:si>
  <x:si>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</x:si>
  <x:si>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</x:si>
  <x:si>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</x:si>
  <x:si>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</x:si>
  <x:si>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</x:si>
  <x:si>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</x:si>
  <x:si>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</x:si>
  <x:si>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</x:si>
  <x:si>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</x:si>
  <x:si>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</x:si>
  <x:si>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</x:si>
  <x:si>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</x:si>
  <x:si>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</x:si>
  <x:si>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</x:si>
  <x:si>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</x:si>
  <x:si>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</x:si>
  <x:si>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</x:si>
  <x:si>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</x:si>
  <x:si>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</x:si>
  <x:si>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</x:si>
  <x:si>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</x:si>
  <x:si>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</x:si>
  <x:si>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</x:si>
  <x:si>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</x:si>
  <x:si>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</x:si>
  <x:si>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</x:si>
  <x:si>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</x:si>
  <x:si>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</x:si>
  <x:si>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</x:si>
  <x:si>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</x:si>
  <x:si>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</x:si>
  <x:si>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</x:si>
  <x:si>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</x:si>
  <x:si>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</x:si>
  <x:si>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</x:si>
  <x:si>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</x:si>
  <x:si>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</x:si>
  <x:si>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</x:si>
  <x:si>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</x:si>
  <x:si>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</x:si>
  <x:si>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</x:si>
  <x:si>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</x:si>
  <x:si>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</x:si>
  <x:si>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</x:si>
  <x:si>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</x:si>
  <x:si>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</x:si>
  <x:si>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</x:si>
  <x:si>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</x:si>
  <x:si>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Phase 5 AWS deployment and smoke</x:t>
  </x:si>
  <x:si>
    <x:t xml:space="preserve">Pass. Commit 4da2e8e, migration, basic 1.0.4 sequence 6, APIs/frontend, create/list/license/update/read/self/spoof-denial/delete, and cleanup verified.</x:t>
  </x:si>
  <x:si>
    <x:t xml:space="preserve">Phase 7 API/source suite</x:t>
  </x:si>
  <x:si>
    <x:t xml:space="preserve">Pass. 17/17 Blockchain API source tests cover upload/hash, verified, mismatch, missing, unknown, metadata-only anchoring, and access guards.</x:t>
  </x:si>
  <x:si>
    <x:t xml:space="preserve">Phase 7 chaincode suite</x:t>
  </x:si>
  <x:si>
    <x:t xml:space="preserve">Pass. 18/18 direct Mocha tests include assigned-doctor metadata writes and unauthorized-doctor rejection.</x:t>
  </x:si>
  <x:si>
    <x:t xml:space="preserve">Phase 7 AWS integrity workflow</x:t>
  </x:si>
  <x:si>
    <x:t xml:space="preserve">Pass. Doctor upload and list, metadata-only SHA-256 anchor, doctor/patient/admin verified status, unauthorized-doctor 403, tamper mismatch, and missing-file reporting all passed.</x:t>
  </x:si>
  <x:si>
    <x:t xml:space="preserve">Phase 6 API/source suite</x:t>
  </x:si>
  <x:si>
    <x:t xml:space="preserve">Pass. 20/20 source tests cover off-chain clinical payloads, hashes, complete medical/dental fields, route contracts, access controls, and automatic audit orchestration.</x:t>
  </x:si>
  <x:si>
    <x:t xml:space="preserve">Phase 6 chaincode suite</x:t>
  </x:si>
  <x:si>
    <x:t xml:space="preserve">Pass. 18/18 direct chaincode tests cover metadata-only storage, assigned-doctor access, unauthorized denial, and deterministic immutable access logs.</x:t>
  </x:si>
  <x:si>
    <x:t xml:space="preserve">Phase 6 AWS clinical workflow</x:t>
  </x:si>
  <x:si>
    <x:t xml:space="preserve">Pass. Medical and dental creation, assigned-doctor read, unauthorized-doctor 403, patient-owner read, and immutable automatic access log all passed.</x:t>
  </x:si>
  <x:si>
    <x:t xml:space="preserve">Phase 7A API/source regression suite</x:t>
  </x:si>
  <x:si>
    <x:t xml:space="preserve">Pass. 24/24 combined source tests include 4 Phase 7A checks for appointment/doctor scoping, doctor assignment and Fabric actor validation, and disabled sample lab data.</x:t>
  </x:si>
  <x:si>
    <x:t xml:space="preserve">Phase 7A frontend regression suite</x:t>
  </x:si>
  <x:si>
    <x:t xml:space="preserve">Pass. 4/4 tests cover protected role routes, JWT expiry/clearing, scoped doctor patient data, production console stripping, and disabled demo lab output.</x:t>
  </x:si>
  <x:si>
    <x:t xml:space="preserve">Phase 7A AWS deployment and authenticated runtime</x:t>
  </x:si>
  <x:si>
    <x:t xml:space="preserve">Pass. Commit d6ecc1b is live after backup 20260713-075154-phase7a-predeploy; MySQL/Database API/Blockchain API/Nginx and public proxy checks pass. Authenticated admin, doctor, and patient smoke verifies scoped appointments, doctor visibility, assigned-patient detail, unauthenticated denial, and disabled sample labs.</x:t>
  </x:si>
  <x:si>
    <x:t xml:space="preserve">Phase 7A Compose and local serving</x:t>
  </x:si>
  <x:si>
    <x:t xml:space="preserve">Pass at source level. Compose config and local HTTP serving validate the container definition. AWS deployment preserved the established Nginx static frontend + Docker Database API + PM2 Blockchain API topology; all-services container alignment remains Phase 11.</x:t>
  </x:si>
  <x:si>
    <x:t xml:space="preserve">Pass (Phase 11 partial)</x:t>
  </x:si>
  <x:si>
    <x:t xml:space="preserve">Frontend production build</x:t>
  </x:si>
  <x:si>
    <x:t xml:space="preserve">Pass with warnings for unresolved Inter font paths, Cornerstone fs/path externalization, and large bundle size.</x:t>
  </x:si>
  <x:si>
    <x:t xml:space="preserve">Pass (warnings)</x:t>
  </x:si>
  <x:si>
    <x:t xml:space="preserve">Phase 1 bootstrap syntax/build checks</x:t>
  </x:si>
  <x:si>
    <x:t xml:space="preserve">Pass. node --check succeeded for backend/server.js and dental-backend/index.js; Vite frontend build passed with known warnings.</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</x:si>
  <x:si>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</x:si>
  <x:si>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</x:si>
  <x:si>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Pass. Vite 5.3.3 production build completed (1,904 modules). Existing unresolved font and large-chunk warnings remain non-blocking.</x:t>
  </x:si>
  <x:si>
    <x:t xml:space="preserve">Phase 5 frontend production build</x:t>
  </x:si>
  <x:si>
    <x:t xml:space="preserve">Pass on AWS. Vite built 1,905 modules; existing font/Cornerstone/chunk warnings remain non-blocking.</x:t>
  </x:si>
  <x:si>
    <x:t xml:space="preserve">Phase 7 frontend production build</x:t>
  </x:si>
  <x:si>
    <x:t xml:space="preserve">Pass on AWS. Vite production build completed; inherited font/Cornerstone/chunk warnings remain.</x:t>
  </x:si>
  <x:si>
    <x:t xml:space="preserve">Phase 6 frontend production build</x:t>
  </x:si>
  <x:si>
    <x:t xml:space="preserve">Pass on AWS. Vite production build completed (1,907 modules); inherited font/Cornerstone/chunk warnings remain.</x:t>
  </x:si>
  <x:si>
    <x:t xml:space="preserve">Phase 7A frontend lint and production build</x:t>
  </x:si>
  <x:si>
    <x:t xml:space="preserve">Pass. ESLint loads and completes with zero findings under the Phase 7A gate; Vite production build completes with 1,331 modules, a 474.88 kB main chunk, and lazy 1,365.55 kB patient/DICOM code splitting. Cornerstone codec and large-chunk warnings remain.</x:t>
  </x:si>
  <x:si>
    <x:t xml:space="preserve">Appointments page standalone Playwright hotfix verification</x:t>
  </x:si>
  <x:si>
    <x:t xml:space="preserve">Pass. Before commit 767400d, /Appointments rendered an empty body with e.map is not a function and no AppointmentsSection. After deployment, the section renders No appointments found with zero page errors and zero console errors.</x:t>
  </x:si>
  <x:si>
    <x:t xml:space="preserve">Item</x:t>
  </x:si>
  <x:si>
    <x:t xml:space="preserve">Status / Note</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</x:si>
  <x:si>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</x:si>
  <x:si>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</x:si>
  <x:si>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</x:si>
  <x:si>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</x:si>
  <x:si>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Chaincode RBAC</x:t>
  </x:si>
  <x:si>
    <x:t xml:space="preserve">Phase 2 is deployed and verified on AWS. Remaining work is lifecycle automation for enrollment/revocation when clinics and users are added or removed.</x:t>
  </x:si>
  <x:si>
    <x:t xml:space="preserve">Clinic creation</x:t>
  </x:si>
  <x:si>
    <x:t xml:space="preserve">Doctor registration and patient-in-clinic registration work, but a distinct create-clinic/organization workflow was not confirmed in the UI/API/chaincode.</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</x:si>
  <x:si>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</x:si>
  <x:si>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</x:si>
  <x:si>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Fabric ledger cleanliness</x:t>
  </x:si>
  <x:si>
    <x:t xml:space="preserve">Verification created smoke-test ledger records. For a clean demo, reset the Fabric network and reinitialize the ledger.</x:t>
  </x:si>
  <x:si>
    <x:t xml:space="preserve">Frontend build warnings</x:t>
  </x:si>
  <x:si>
    <x:t xml:space="preserve">Phase 7A corrected local font paths and reduced the main bundle through direct imports/lazy patient detail. Cornerstone codec externalization and a &gt;500 kB chunk warning remain and require real-browser DICOM verification/code splitting.</x:t>
  </x:si>
  <x:si>
    <x:t xml:space="preserve">Mobile app runtime</x:t>
  </x:si>
  <x:si>
    <x:t xml:space="preserve">Mobile sign-in and request/consent calls now use JWT plus the login blockchainID; broader mobile screens still include static/placeholder workflows.</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</x:si>
  <x:si>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</x:si>
  <x:si>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</x:si>
  <x:si>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Patient blockchain identity mapping</x:t>
  </x:si>
  <x:si>
    <x:t xml:space="preserve">Source-level mapping and AWS runtime verification passed 2026-07-11; Patient1-Patient3 mappings are present in the live database.</x:t>
  </x:si>
  <x:si>
    <x:t xml:space="preserve">Phase 3 AWS rollout completed</x:t>
  </x:si>
  <x:si>
    <x:t xml:space="preserve">Passed 2026-07-11. No DB migration required. Backup: /home/ubuntu/deployment-backups/20260711-phase3-predeploy.</x:t>
  </x:si>
  <x:si>
    <x:t xml:space="preserve">Phase 5 doctor CA lifecycle</x:t>
  </x:si>
  <x:si>
    <x:t xml:space="preserve">Phase 5 deployed. Fabric CA enrollment/revocation remains an explicit operation for each newly created/deleted doctor until lifecycle automation is implemented.</x:t>
  </x:si>
  <x:si>
    <x:t xml:space="preserve">Required On AWS VM</x:t>
  </x:si>
  <x:si>
    <x:t xml:space="preserve">Source / Path</x:t>
  </x:si>
  <x:si>
    <x:t xml:space="preserve">Action / Command</x:t>
  </x:si>
  <x:si>
    <x:t xml:space="preserve">Status / Notes</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</x:si>
  <x:si>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</x:si>
  <x:si>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</x:si>
  <x:si>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</x:si>
  <x:si>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</x:si>
  <x:si>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</x:si>
  <x:si>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</x:si>
  <x:si>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</x:si>
  <x:si>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</x:si>
  <x:si>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</x:si>
  <x:si>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</x:si>
  <x:si>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</x:si>
  <x:si>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</x:si>
  <x:si>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</x:si>
  <x:si>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</x:si>
  <x:si>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</x:si>
  <x:si>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</x:si>
  <x:si>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</x:si>
  <x:si>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</x:si>
  <x:si>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</x:si>
  <x:si>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</x:si>
  <x:si>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</x:si>
  <x:si>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</x:si>
  <x:si>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</x:si>
  <x:si>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</x:si>
  <x:si>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</x:si>
  <x:si>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</x:si>
  <x:si>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</x:si>
  <x:si>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</x:si>
  <x:si>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</x:si>
  <x:si>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</x:si>
  <x:si>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</x:si>
  <x:si>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</x:si>
  <x:si>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</x:si>
  <x:si>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</x:si>
  <x:si>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</x:si>
  <x:si>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</x:si>
  <x:si>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</x:si>
  <x:si>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</x:si>
  <x:si>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</x:si>
  <x:si>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</x:si>
  <x:si>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</x:si>
  <x:si>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</x:si>
  <x:si>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</x:si>
  <x:si>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</x:si>
  <x:si>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</x:si>
  <x:si>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Passed 2026-07-12. Database API rebuilt, frontend clean-installed/built/copied, Nginx validated, and authenticated Phase 5 smoke workflow passed.</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</x:si>
  <x:si>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</x:si>
  <x:si>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</x:si>
  <x:si>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</x:si>
  <x:si>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</x:si>
  <x:si>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Passed 2026-07-12 after backup. Migration applied; schema verified. Legacy Doctor1/Doctor2 regulated fields remain null pending authoritative source data.</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</x:si>
  <x:si>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</x:si>
  <x:si>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</x:si>
  <x:si>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</x:si>
  <x:si>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</x:si>
  <x:si>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Passed 2026-07-12. Chaincode basic 1.0.4 sequence 6 committed with Org1MSP and Org2MSP approvals; Blockchain API restarted.</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</x:si>
  <x:si>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</x:si>
  <x:si>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</x:si>
  <x:si>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</x:si>
  <x:si>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</x:si>
  <x:si>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</x:si>
  <x:si>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Operational carry-forward. Existing identities remain bound; enroll doctor-&lt;doctorID&gt; after new doctor creation and revoke after deletion until lifecycle automation is implemented.</x:t>
  </x:si>
  <x:si>
    <x:t xml:space="preserve">P6-APP-01</x:t>
  </x:si>
  <x:si>
    <x:t xml:space="preserve">Clinical APIs/frontend rollout and smoke</x:t>
  </x:si>
  <x:si>
    <x:t xml:space="preserve">backend; dental-backend; bc-dentistry-frontend; Phase6_Clinical_Records_Deployment.md</x:t>
  </x:si>
  <x:si>
    <x:t xml:space="preserve">Rebuild/restart APIs, build/copy frontend, reload Nginx, and execute medical/dental create-read-access-audit workflow.</x:t>
  </x:si>
  <x:si>
    <x:t xml:space="preserve">Passed 2026-07-12 after backups 20260712-171146 and 20260712-171801. Full clinical workflow smoke passed.</x:t>
  </x:si>
  <x:si>
    <x:t xml:space="preserve">P6-DB-01</x:t>
  </x:si>
  <x:si>
    <x:t xml:space="preserve">Clinical record database migration</x:t>
  </x:si>
  <x:si>
    <x:t xml:space="preserve">Yes, before Phase 6 Database API restart</x:t>
  </x:si>
  <x:si>
    <x:t xml:space="preserve">database/migrations/2026-07-12-phase6-clinical-records.sql</x:t>
  </x:si>
  <x:si>
    <x:t xml:space="preserve">Back up MySQL; apply migration; verify Clinical_Record schema and patient foreign key.</x:t>
  </x:si>
  <x:si>
    <x:t xml:space="preserve">Passed 2026-07-12. Migration applied and schema verified on AWS.</x:t>
  </x:si>
  <x:si>
    <x:t xml:space="preserve">P6-FAB-01</x:t>
  </x:si>
  <x:si>
    <x:t xml:space="preserve">Fabric clinical metadata and audit upgrade</x:t>
  </x:si>
  <x:si>
    <x:t xml:space="preserve">Package/install/approve/commit corrected metadata-only and deterministic audit chaincode; restart Blockchain API.</x:t>
  </x:si>
  <x:si>
    <x:t xml:space="preserve">Passed 2026-07-12. Initial sequence 8 exposed nondeterministic wall-clock audit timestamps; corrected basic 1.0.7 sequence 9 committed with Org1MSP and Org2MSP approvals.</x:t>
  </x:si>
  <x:si>
    <x:t xml:space="preserve">P7-APP-01</x:t>
  </x:si>
  <x:si>
    <x:t xml:space="preserve">Frontend rollout and integrity smoke</x:t>
  </x:si>
  <x:si>
    <x:t xml:space="preserve">Yes, after storage and Fabric</x:t>
  </x:si>
  <x:si>
    <x:t xml:space="preserve">bc-dentistry-frontend; Phase7_DICOM_Storage_And_Deployment.md</x:t>
  </x:si>
  <x:si>
    <x:t xml:space="preserve">Build/copy frontend, reload Nginx, then run upload/verify/tamper/missing/unauthorized workflow.</x:t>
  </x:si>
  <x:si>
    <x:t xml:space="preserve">Passed 2026-07-12 after backups 20260712-111048 and 20260712-111209. Frontend/Nginx rollout and full smoke workflow passed.</x:t>
  </x:si>
  <x:si>
    <x:t xml:space="preserve">P7-FAB-01</x:t>
  </x:si>
  <x:si>
    <x:t xml:space="preserve">Package/install/approve/commit metadata-only file transactions; restart Blockchain API with storage environment.</x:t>
  </x:si>
  <x:si>
    <x:t xml:space="preserve">Passed 2026-07-12. basic 1.0.5 sequence 7 committed with Org1MSP and Org2MSP approvals; PM2 Blockchain API restarted.</x:t>
  </x:si>
  <x:si>
    <x:t xml:space="preserve">P7-STOR-01</x:t>
  </x:si>
  <x:si>
    <x:t xml:space="preserve">Private radiographic filesystem</x:t>
  </x:si>
  <x:si>
    <x:t xml:space="preserve">Yes, before Blockchain API restart</x:t>
  </x:si>
  <x:si>
    <x:t xml:space="preserve">AWS /var/lib/edr/radiographic-files; dental-backend/.env</x:t>
  </x:si>
  <x:si>
    <x:t xml:space="preserve">Create private persistent directory mode 0700 and set RADIOGRAPHIC_STORAGE_ROOT plus upload limit.</x:t>
  </x:si>
  <x:si>
    <x:t xml:space="preserve">Passed 2026-07-12. Directory configured at /var/lib/edr/radiographic-files; no MySQL migration was required.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</x:si>
  <x:si>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</x:si>
  <x:si>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</x:si>
  <x:si>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</x:si>
  <x:si>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</x:si>
  <x:si>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</x:si>
  <x:si>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</x:si>
  <x:si>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</x:si>
  <x:si>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</x:si>
  <x:si>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</x:si>
  <x:si>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</x:si>
  <x:si>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</x:si>
  <x:si>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</x:si>
  <x:si>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</x:si>
  <x:si>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</x:si>
  <x:si>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</x:si>
  <x:si>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</x:si>
  <x:si>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</x:si>
  <x:si>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</x:si>
  <x:si>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</x:si>
  <x:si>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</x:si>
  <x:si>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</x:si>
  <x:si>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</x:si>
  <x:si>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</x:si>
  <x:si>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</x:si>
  <x:si>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</x:si>
  <x:si>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</x:si>
  <x:si>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</x:si>
  <x:si>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</x:si>
  <x:si>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</x:si>
  <x:si>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</x:si>
  <x:si>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</x:si>
  <x:si>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</x:si>
  <x:si>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</x:si>
  <x:si>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</x:si>
  <x:si>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</x:si>
  <x:si>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</x:si>
  <x:si>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</x:si>
  <x:si>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</x:si>
  <x:si>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</x:si>
  <x:si>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</x:si>
  <x:si>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</x:si>
  <x:si>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</x:si>
  <x:si>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</x:si>
  <x:si>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</x:si>
  <x:si>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</x:si>
  <x:si>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</x:si>
  <x:si>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</x:si>
  <x:si>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</x:si>
  <x:si>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</x:si>
  <x:si>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</x:si>
  <x:si>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</x:si>
  <x:si>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</x:si>
  <x:si>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</x:si>
  <x:si>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</x:si>
  <x:si>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</x:si>
  <x:si>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</x:si>
  <x:si>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</x:si>
  <x:si>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</x:si>
  <x:si>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</x:si>
  <x:si>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</x:si>
  <x:si>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</x:si>
  <x:si>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</x:si>
  <x:si>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</x:si>
  <x:si>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</x:si>
  <x:si>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</x:si>
  <x:si>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</x:si>
  <x:si>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</x:si>
  <x:si>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</x:si>
  <x:si>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</x:si>
  <x:si>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</x:si>
  <x:si>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</x:si>
  <x:si>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</x:si>
  <x:si>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</x:si>
  <x:si>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</x:si>
  <x:si>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</x:si>
  <x:si>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</x:si>
  <x:si>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</x:si>
  <x:si>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</x:si>
  <x:si>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</x:si>
  <x:si>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</x:si>
  <x:si>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</x:si>
  <x:si>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</x:si>
  <x:si>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Deployed and smoke-tested on AWS from 4da2e8e.</x:t>
  </x:si>
  <x:si>
    <x:t xml:space="preserve">Legacy Doctor1/Doctor2 regulated values await authoritative backfill; CA lifecycle automation remains open.</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</x:si>
  <x:si>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</x:si>
  <x:si>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</x:si>
  <x:si>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</x:si>
  <x:si>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</x:si>
  <x:si>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Self route and spoof denial passed on AWS.</x:t>
  </x:si>
  <x:si>
    <x:t xml:space="preserve">Complete.</x:t>
  </x:si>
  <x:si>
    <x:t xml:space="preserve">P6-FR15-18</x:t>
  </x:si>
  <x:si>
    <x:t xml:space="preserve">Complete clinical record management</x:t>
  </x:si>
  <x:si>
    <x:t xml:space="preserve">The SRS requires complete medical and dental entry, authorized retrieval, and immutable access auditing without exposing clinical payloads on-chain.</x:t>
  </x:si>
  <x:si>
    <x:t xml:space="preserve">The baseline had isolated legacy methods, incomplete fields, no coordinated API/UI, and no automatic retrieval audit.</x:t>
  </x:si>
  <x:si>
    <x:t xml:space="preserve">Implemented and deployed: MySQL clinical payloads, SHA-256 Fabric metadata, complete UI/API fields, assigned/consented doctor and patient-owner access, deterministic automatic audit logs; source tests 20/20, chaincode 18/18, AWS smoke passed; basic 1.0.7 sequence 9.</x:t>
  </x:si>
  <x:si>
    <x:t xml:space="preserve">Fabric CA enrollment/revocation remains an operational lifecycle step; clinical payloads intentionally remain off-chain.</x:t>
  </x:si>
  <x:si>
    <x:t xml:space="preserve">P7-FR19-20-SEC04</x:t>
  </x:si>
  <x:si>
    <x:t xml:space="preserve">DICOM off-chain storage and integrity verification</x:t>
  </x:si>
  <x:si>
    <x:t xml:space="preserve">The baseline exposed only a sample DICOM viewer and a legacy CID metadata path; it did not persist private radiographic bytes, anchor SHA-256, or detect tampering and missing files.</x:t>
  </x:si>
  <x:si>
    <x:t xml:space="preserve">FR-19, FR-20, and SEC-04 were missing or partial: no production upload/storage boundary, digest workflow, four-state verification API, access-controlled metadata UI, or deployment evidence.</x:t>
  </x:si>
  <x:si>
    <x:t xml:space="preserve">FR-19; FR-20; SEC-04; SEC-08</x:t>
  </x:si>
  <x:si>
    <x:t xml:space="preserve">Deployed on AWS with private filesystem storage and Fabric basic 1.0.5 sequence 7. Upload, metadata-only SHA-256 anchor, assigned-doctor list, patient/admin verified status, unauthorized-doctor denial, mismatch, and missing-file checks passed.</x:t>
  </x:si>
  <x:si>
    <x:t xml:space="preserve">Current filesystem strategy is single-host; future multi-host scaling should move bytes to approved encrypted private object storage while retaining opaque references and on-chain SHA-256.</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</x:si>
  <x:si>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</x:si>
  <x:si>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</x:si>
  <x:si>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</x:si>
  <x:si>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</x:si>
  <x:si>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</x:si>
  <x:si>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</x:si>
  <x:si>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</x:si>
  <x:si>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Remediation Classification Summary — Through Phase 7A</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</x:si>
  <x:si>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</x:si>
  <x:si>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</x:si>
  <x:si>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</x:si>
  <x:si>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</x:si>
  <x:si>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</x:si>
  <x:si>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</x:si>
  <x:si>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</x:si>
  <x:si>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</x:si>
  <x:si>
    <x:t xml:space="preserve">Interpretation Notes</x:t>
  </x:si>
  <x:si>
    <x:t xml:space="preserve">1. Classification is based on baseline behavior and SRS obligation, not the filename or component where the change was made.</x:t>
  </x:si>
  <x:si>
    <x:t xml:space="preserve">2. Security controls absent from the baseline are SRS gap development even when they also correct unsafe behavior.</x:t>
  </x:si>
  <x:si>
    <x:t xml:space="preserve">3. Runtime corrections such as wrong ports, crashes, bad type handling, and integration failures are classified as bug fixes.</x:t>
  </x:si>
  <x:si>
    <x:t xml:space="preserve">4. Documentation, tests, migrations, and deployment evidence are tracked separately so they do not inflate feature-development counts.</x:t>
  </x:si>
</x:sst>
</file>

<file path=xl/styles.xml><?xml version="1.0" encoding="utf-8"?>
<x:styleSheet xmlns:x="http://schemas.openxmlformats.org/spreadsheetml/2006/main">
  <x:numFmts count="1">
    <x:numFmt numFmtId="164" formatCode="m/d/yy"/>
  </x:numFmts>
  <x:fonts count="29">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sz val="10"/>
      <x:color theme="1"/>
      <x:name val="Aptos Narrow"/>
    </x:font>
    <x:font>
      <x:b/>
      <x:sz val="10"/>
      <x:color theme="1"/>
      <x:name val="Aptos Narrow"/>
    </x:font>
  </x:fonts>
  <x:fills count="22">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s>
  <x:borders count="24">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s>
  <x:cellStyleXfs count="1">
    <x:xf numFmtId="0" fontId="0" fillId="0" borderId="0"/>
  </x:cellStyleXfs>
  <x:cellXfs count="87">
    <x:xf numFmtId="0" fontId="0" fillId="0" borderId="0" xfId="0"/>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2" xfId="0" applyFont="1" applyBorder="1" applyAlignment="1">
      <x:alignment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5" fillId="0" borderId="15" xfId="0" applyFont="1" applyBorder="1" applyAlignment="1">
      <x:alignment vertical="center" wrapText="1"/>
    </x:xf>
    <x:xf numFmtId="0" fontId="25" fillId="0" borderId="20" xfId="0" applyFont="1" applyBorder="1" applyAlignment="1">
      <x:alignment vertical="center" wrapText="1"/>
    </x:xf>
    <x:xf numFmtId="0" fontId="25" fillId="0" borderId="22" xfId="0" applyFont="1" applyBorder="1" applyAlignment="1">
      <x:alignment vertical="center" wrapText="1"/>
    </x:xf>
    <x:xf numFmtId="0" fontId="25" fillId="0" borderId="23" xfId="0" applyFont="1" applyBorder="1" applyAlignment="1">
      <x:alignment vertical="center" wrapText="1"/>
    </x:xf>
    <x:xf numFmtId="0" fontId="27" fillId="0" borderId="0" xfId="0" applyFont="1"/>
    <x:xf numFmtId="0" fontId="28" fillId="0" borderId="0" xfId="0" applyFont="1"/>
    <x:xf numFmtId="0" fontId="11" fillId="0" borderId="0" xfId="0" applyFont="1" applyAlignment="1">
      <x:alignment vertical="center"/>
    </x:xf>
    <x:xf numFmtId="164" fontId="0" fillId="0" borderId="0" xfId="0" applyNumberFormat="1" applyAlignment="1">
      <x:alignment horizontal="left" vertical="center"/>
    </x:xf>
    <x:xf numFmtId="0" fontId="12" fillId="0" borderId="0" xfId="0" applyFont="1" applyAlignment="1">
      <x:alignment vertical="center"/>
    </x:xf>
    <x:xf numFmtId="0" fontId="14" fillId="0" borderId="0" xfId="0" applyFont="1" applyAlignment="1">
      <x:alignment vertical="center"/>
    </x:xf>
    <x:xf numFmtId="0" fontId="2" fillId="2" borderId="1" xfId="0" applyFont="1" applyFill="1" applyBorder="1" applyAlignment="1">
      <x:alignment vertical="center"/>
    </x:xf>
    <x:xf numFmtId="0" fontId="4" fillId="3" borderId="2" xfId="0" applyFont="1" applyFill="1" applyBorder="1" applyAlignment="1">
      <x:alignment vertical="center"/>
    </x:xf>
    <x:xf numFmtId="0" fontId="0" fillId="0" borderId="2" xfId="0" applyBorder="1" applyAlignment="1">
      <x:alignment horizontal="center" vertical="center"/>
    </x:xf>
    <x:xf numFmtId="0" fontId="5" fillId="4" borderId="2" xfId="0" applyFont="1" applyFill="1" applyBorder="1" applyAlignment="1">
      <x:alignment vertical="center"/>
    </x:xf>
    <x:xf numFmtId="0" fontId="6" fillId="5" borderId="2" xfId="0" applyFont="1" applyFill="1" applyBorder="1" applyAlignment="1">
      <x:alignment vertical="center"/>
    </x:xf>
    <x:xf numFmtId="0" fontId="7" fillId="6" borderId="2" xfId="0" applyFont="1" applyFill="1" applyBorder="1" applyAlignment="1">
      <x:alignment vertical="center"/>
    </x:xf>
    <x:xf numFmtId="0" fontId="20" fillId="16" borderId="3" xfId="0" applyFont="1" applyFill="1" applyBorder="1" applyAlignment="1">
      <x:alignment vertical="center"/>
    </x:xf>
    <x:xf numFmtId="0" fontId="0" fillId="0" borderId="3" xfId="0" applyBorder="1" applyAlignment="1">
      <x:alignment horizontal="center" vertical="center"/>
    </x:xf>
    <x:xf numFmtId="0" fontId="21" fillId="17" borderId="3" xfId="0" applyFont="1" applyFill="1" applyBorder="1" applyAlignment="1">
      <x:alignment vertical="center"/>
    </x:xf>
    <x:xf numFmtId="0" fontId="19" fillId="15" borderId="3" xfId="0" applyFont="1" applyFill="1" applyBorder="1" applyAlignment="1">
      <x:alignment vertical="center"/>
    </x:xf>
    <x:xf numFmtId="0" fontId="24" fillId="21" borderId="3" xfId="0" applyFont="1" applyFill="1" applyBorder="1" applyAlignment="1">
      <x:alignment vertical="center"/>
    </x:xf>
    <x:xf numFmtId="0" fontId="1" fillId="9" borderId="4" xfId="0" applyFont="1" applyFill="1" applyBorder="1" applyAlignment="1">
      <x:alignment vertical="center"/>
    </x:xf>
    <x:xf numFmtId="0" fontId="1" fillId="9" borderId="4" xfId="0" applyFont="1" applyFill="1" applyBorder="1" applyAlignment="1">
      <x:alignment horizontal="center" vertical="center"/>
    </x:xf>
    <x:xf numFmtId="0" fontId="14" fillId="0" borderId="2" xfId="0" applyFont="1" applyBorder="1" applyAlignment="1">
      <x:alignment vertical="center"/>
    </x:xf>
    <x:xf numFmtId="0" fontId="0" fillId="0" borderId="2" xfId="0" applyBorder="1" applyAlignment="1">
      <x:alignment vertical="center"/>
    </x:xf>
    <x:xf numFmtId="0" fontId="0" fillId="0" borderId="3" xfId="0" applyBorder="1" applyAlignment="1">
      <x:alignment vertical="center"/>
    </x:xf>
    <x:xf numFmtId="1" fontId="0" fillId="0" borderId="0" xfId="0" applyNumberFormat="1" applyAlignment="1">
      <x:alignment horizontal="center" vertical="center" wrapText="1"/>
    </x:xf>
    <x:xf numFmtId="0" fontId="25" fillId="0" borderId="0" xfId="0" applyFont="1"/>
    <x:xf numFmtId="0" fontId="26" fillId="0" borderId="23" xfId="0" applyFont="1" applyBorder="1" applyAlignment="1">
      <x:alignment horizontal="center"/>
    </x:xf>
    <x:xf numFmtId="0" fontId="26" fillId="0" borderId="0" xfId="0" applyFont="1" applyAlignment="1">
      <x:alignment horizontal="center"/>
    </x:xf>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center" wrapText="1"/>
    </x:xf>
    <x:xf numFmtId="0" fontId="0" fillId="0" borderId="0" xfId="0" applyAlignment="1">
      <x:alignment vertical="center"/>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22" fillId="18" borderId="0" xfId="0" applyFont="1" applyFill="1" applyAlignment="1">
      <x:alignment horizontal="left" vertical="center" wrapText="1"/>
    </x:xf>
  </x:cellXfs>
  <x:cellStyles count="1">
    <x:cellStyle name="Normal" xfId="0"/>
  </x:cellStyles>
  <x:dxfs count="21">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b/>
        <x:color rgb="FF375623"/>
      </x:font>
    </x:dxf>
    <x:dxf>
      <x:font>
        <x:b/>
        <x:color rgb="FF806000"/>
      </x:font>
    </x:dxf>
    <x:dxf>
      <x:font>
        <x:b/>
        <x:color rgb="FF843C0C"/>
      </x:font>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c2512805624f408a" /><Relationship Type="http://schemas.openxmlformats.org/officeDocument/2006/relationships/theme" Target="/xl/theme/theme1.xml" Id="Rf05be74729a94dc7" /><Relationship Type="http://schemas.openxmlformats.org/officeDocument/2006/relationships/sharedStrings" Target="/xl/sharedStrings.xml" Id="R8aea31171af64aeb" /><Relationship Type="http://schemas.openxmlformats.org/officeDocument/2006/relationships/worksheet" Target="/xl/worksheets/sheet1.xml" Id="Rb8914b3e6d85496a" /><Relationship Type="http://schemas.openxmlformats.org/officeDocument/2006/relationships/worksheet" Target="/xl/worksheets/sheet2.xml" Id="R84241f8a7f8445ad" /><Relationship Type="http://schemas.openxmlformats.org/officeDocument/2006/relationships/worksheet" Target="/xl/worksheets/sheet3.xml" Id="R550071bb746a4286" /><Relationship Type="http://schemas.openxmlformats.org/officeDocument/2006/relationships/worksheet" Target="/xl/worksheets/sheet4.xml" Id="Raa57b544cfdb48ff" /><Relationship Type="http://schemas.openxmlformats.org/officeDocument/2006/relationships/worksheet" Target="/xl/worksheets/sheet5.xml" Id="Rddfff5d226194ee3" /><Relationship Type="http://schemas.openxmlformats.org/officeDocument/2006/relationships/worksheet" Target="/xl/worksheets/sheet6.xml" Id="R9ca280becc714357" /><Relationship Type="http://schemas.openxmlformats.org/officeDocument/2006/relationships/worksheet" Target="/xl/worksheets/sheet7.xml" Id="R105b042f0905400f" /><Relationship Type="http://schemas.openxmlformats.org/officeDocument/2006/relationships/worksheet" Target="/xl/worksheets/sheet8.xml" Id="R97c85caf94f444f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9408a320d04c0f"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68</c:v>
                </c:pt>
                <c:pt idx="1">
                  <c:v>17</c:v>
                </c:pt>
                <c:pt idx="2">
                  <c:v>14</c:v>
                </c:pt>
                <c:pt idx="3">
                  <c:v>15</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9408a320d04c0f"/>
        </a:graphicData>
      </a:graphic>
    </xdr:graphicFrame>
    <xdr:clientData/>
  </xdr:twoCellAnchor>
</xdr:wsDr>
</file>

<file path=xl/tables/table1.xml><?xml version="1.0" encoding="utf-8"?>
<x:table xmlns:x="http://schemas.openxmlformats.org/spreadsheetml/2006/main" id="1" name="ChangesTable" displayName="ChangesTable" ref="A1:K134" totalsRowShown="0" dataDxfId="19" headerRowBorderDxfId="20">
  <x:autoFilter ref="A1:K134"/>
  <x:sortState ref="A2:K133">
    <x:sortCondition ref="A2:A133"/>
  </x:sortState>
  <x:tableColumns count="11">
    <x:tableColumn id="1" name="ID"/>
    <x:tableColumn id="2" name="Category"/>
    <x:tableColumn id="3" name="File"/>
    <x:tableColumn id="4" name="Lines Changed"/>
    <x:tableColumn id="5" name="Original Logic / Config"/>
    <x:tableColumn id="6" name="Updated Logic / Config"/>
    <x:tableColumn id="7" name="Reason / Fix"/>
    <x:tableColumn id="8" name="Work Type"/>
    <x:tableColumn id="9" name="Remediation Phase"/>
    <x:tableColumn id="10" name="SRS Requirement / Scope"/>
    <x:tableColumn id="11" name="Classification Basis"/>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18">
  <x:autoFilter ref="A1:E10"/>
  <x:sortState ref="A2:E10">
    <x:sortCondition ref="A2:A10"/>
  </x:sortState>
  <x:tableColumns count="5">
    <x:tableColumn id="1" name="ID" dataDxfId="17"/>
    <x:tableColumn id="2" name="Path" dataDxfId="16"/>
    <x:tableColumn id="3" name="Type" dataDxfId="15"/>
    <x:tableColumn id="4" name="What Changed" dataDxfId="14"/>
    <x:tableColumn id="5" name="Purpose / Note" dataDxfId="13"/>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49" totalsRowShown="0" dataDxfId="11" headerRowBorderDxfId="12">
  <x:autoFilter ref="A1:C49"/>
  <x:sortState ref="A2:C48">
    <x:sortCondition ref="C2:C48"/>
  </x:sortState>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4" totalsRowShown="0">
  <x:autoFilter ref="A1:B14"/>
  <x:sortState ref="A2:B14">
    <x:sortCondition ref="A2:A14"/>
  </x:sortState>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4c2db616f544f3c" /></Relationships>
</file>

<file path=xl/worksheets/_rels/sheet2.xml.rels>&#65279;<?xml version="1.0" encoding="utf-8"?><Relationships xmlns="http://schemas.openxmlformats.org/package/2006/relationships"><Relationship Type="http://schemas.openxmlformats.org/officeDocument/2006/relationships/table" Target="/xl/tables/table1.xml" Id="R0fd2db29390d42cf" /></Relationships>
</file>

<file path=xl/worksheets/_rels/sheet3.xml.rels>&#65279;<?xml version="1.0" encoding="utf-8"?><Relationships xmlns="http://schemas.openxmlformats.org/package/2006/relationships"><Relationship Type="http://schemas.openxmlformats.org/officeDocument/2006/relationships/table" Target="/xl/tables/table2.xml" Id="Ra52b57b8002d41a6" /></Relationships>
</file>

<file path=xl/worksheets/_rels/sheet4.xml.rels>&#65279;<?xml version="1.0" encoding="utf-8"?><Relationships xmlns="http://schemas.openxmlformats.org/package/2006/relationships"><Relationship Type="http://schemas.openxmlformats.org/officeDocument/2006/relationships/table" Target="/xl/tables/table3.xml" Id="R40325519e5f641f0" /></Relationships>
</file>

<file path=xl/worksheets/_rels/sheet5.xml.rels>&#65279;<?xml version="1.0" encoding="utf-8"?><Relationships xmlns="http://schemas.openxmlformats.org/package/2006/relationships"><Relationship Type="http://schemas.openxmlformats.org/officeDocument/2006/relationships/table" Target="/xl/tables/table4.xml" Id="R78c0078050304e61"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78" t="s">
        <x:v>0</x:v>
      </x:c>
      <x:c r="C2" s="79"/>
      <x:c r="D2" s="79"/>
      <x:c r="E2" s="79"/>
      <x:c r="F2" s="79"/>
      <x:c r="G2" s="79"/>
      <x:c r="H2" s="79"/>
      <x:c r="I2" s="79"/>
    </x:row>
    <x:row r="3" ht="24" customHeight="1">
      <x:c r="B3" s="80" t="s">
        <x:v>1</x:v>
      </x:c>
      <x:c r="C3" s="79"/>
      <x:c r="D3" s="79"/>
      <x:c r="E3" s="79"/>
      <x:c r="F3" s="79"/>
      <x:c r="G3" s="79"/>
      <x:c r="H3" s="79"/>
      <x:c r="I3" s="79"/>
    </x:row>
    <x:row r="5">
      <x:c r="B5" s="54" t="s">
        <x:v>2</x:v>
      </x:c>
      <x:c r="C5" s="3" t="s">
        <x:v>3</x:v>
      </x:c>
    </x:row>
    <x:row r="6">
      <x:c r="B6" s="54" t="s">
        <x:v>4</x:v>
      </x:c>
      <x:c r="C6" s="55">
        <x:v>46215</x:v>
      </x:c>
    </x:row>
    <x:row r="7">
      <x:c r="B7" s="54" t="s">
        <x:v>5</x:v>
      </x:c>
      <x:c r="C7" s="56" t="s">
        <x:v>6</x:v>
      </x:c>
    </x:row>
    <x:row r="9" ht="33.75" customHeight="1">
      <x:c r="B9" s="81" t="s">
        <x:v>7</x:v>
      </x:c>
      <x:c r="C9" s="82"/>
      <x:c r="D9" s="82"/>
      <x:c r="E9" s="82"/>
      <x:c r="F9" s="82"/>
      <x:c r="G9" s="82"/>
      <x:c r="H9" s="82"/>
      <x:c r="I9" s="82"/>
    </x:row>
    <x:row r="11" ht="17.25">
      <x:c r="B11" s="57" t="s">
        <x:v>8</x:v>
      </x:c>
      <x:c r="C11" s="3"/>
    </x:row>
    <x:row r="12">
      <x:c r="B12" s="58" t="s">
        <x:v>9</x:v>
      </x:c>
      <x:c r="C12" s="58" t="s">
        <x:v>10</x:v>
      </x:c>
    </x:row>
    <x:row r="13">
      <x:c r="B13" s="59" t="s">
        <x:v>11</x:v>
      </x:c>
      <x:c r="C13" s="60" t="n">
        <x:v>71</x:v>
      </x:c>
    </x:row>
    <x:row r="14">
      <x:c r="B14" s="61" t="s">
        <x:v>12</x:v>
      </x:c>
      <x:c r="C14" s="60" t="n">
        <x:v>17</x:v>
      </x:c>
    </x:row>
    <x:row r="15">
      <x:c r="B15" s="62" t="s">
        <x:v>13</x:v>
      </x:c>
      <x:c r="C15" s="60" t="n">
        <x:v>14</x:v>
      </x:c>
    </x:row>
    <x:row r="16">
      <x:c r="B16" s="63" t="s">
        <x:v>14</x:v>
      </x:c>
      <x:c r="C16" s="60" t="n">
        <x:v>16</x:v>
      </x:c>
    </x:row>
    <x:row r="17">
      <x:c r="B17" s="64" t="s">
        <x:v>15</x:v>
      </x:c>
      <x:c r="C17" s="65" t="n">
        <x:v>1</x:v>
      </x:c>
    </x:row>
    <x:row r="18">
      <x:c r="B18" s="66" t="s">
        <x:v>16</x:v>
      </x:c>
      <x:c r="C18" s="65" t="n">
        <x:v>9</x:v>
      </x:c>
    </x:row>
    <x:row r="19">
      <x:c r="B19" s="67" t="s">
        <x:v>17</x:v>
      </x:c>
      <x:c r="C19" s="65" t="n">
        <x:v>11</x:v>
      </x:c>
    </x:row>
    <x:row r="20">
      <x:c r="B20" s="68" t="s">
        <x:v>18</x:v>
      </x:c>
      <x:c r="C20" s="65" t="n">
        <x:v>3</x:v>
      </x:c>
    </x:row>
    <x:row r="21">
      <x:c r="B21" s="69" t="s">
        <x:v>19</x:v>
      </x:c>
      <x:c r="C21" s="70" t="n">
        <x:v>142</x:v>
      </x:c>
    </x:row>
    <x:row r="22" ht="17.25">
      <x:c r="B22" s="71" t="s">
        <x:v>20</x:v>
      </x:c>
      <x:c r="C22" s="72"/>
    </x:row>
    <x:row r="23">
      <x:c r="B23" s="72" t="s">
        <x:v>21</x:v>
      </x:c>
      <x:c r="C23" s="60" t="n">
        <x:f>COUNTA(RuntimeTable[ID])</x:f>
        <x:v>9</x:v>
      </x:c>
    </x:row>
    <x:row r="24">
      <x:c r="B24" s="72" t="s">
        <x:v>22</x:v>
      </x:c>
      <x:c r="C24" s="60" t="n">
        <x:v>53</x:v>
      </x:c>
    </x:row>
    <x:row r="25">
      <x:c r="B25" s="73" t="s">
        <x:v>23</x:v>
      </x:c>
      <x:c r="C25" s="65" t="n">
        <x:f>COUNTA('Known Items'!A2:A14)</x:f>
        <x:v>12</x:v>
      </x:c>
    </x:row>
  </x:sheetData>
  <x:mergeCells>
    <x:mergeCell ref="B2:I2"/>
    <x:mergeCell ref="B3:I3"/>
    <x:mergeCell ref="B9:I9"/>
  </x:mergeCells>
  <x:pageMargins left="0.7" right="0.7" top="0.75" bottom="0.75" header="0.3" footer="0.3"/>
  <x:drawing xmlns:r="http://schemas.openxmlformats.org/officeDocument/2006/relationships" r:id="Rb4c2db616f544f3c"/>
</x:worksheet>
</file>

<file path=xl/worksheets/sheet2.xml><?xml version="1.0" encoding="utf-8"?>
<x:worksheet xmlns:x="http://schemas.openxmlformats.org/spreadsheetml/2006/main">
  <x:sheetFormatPr defaultRowHeight="15"/>
  <x:cols>
    <x:col min="1" max="1" width="9.85546875" style="3" customWidth="1"/>
    <x:col min="2" max="2" width="17.140625" style="3" customWidth="1"/>
    <x:col min="3" max="3" width="50.42578125" style="3" customWidth="1"/>
    <x:col min="4" max="4" width="20" style="3" customWidth="1"/>
    <x:col min="5" max="5" width="74.85546875" style="3" customWidth="1"/>
    <x:col min="6" max="6" width="81.42578125" style="3" customWidth="1"/>
    <x:col min="7" max="7" width="99.7109375" style="3" customWidth="1"/>
    <x:col min="8" max="8" width="22.85546875" style="3" customWidth="1"/>
    <x:col min="9" max="9" width="26.7109375" style="3" customWidth="1"/>
    <x:col min="10" max="10" width="28.5703125" style="3" customWidth="1"/>
    <x:col min="11" max="11" width="45.7109375" style="3" customWidth="1"/>
    <x:col min="12" max="16384" width="9.140625" style="3" customWidth="0"/>
  </x:cols>
  <x:sheetData>
    <x:row r="1">
      <x:c r="A1" s="27" t="s">
        <x:v>24</x:v>
      </x:c>
      <x:c r="B1" s="28" t="s">
        <x:v>9</x:v>
      </x:c>
      <x:c r="C1" s="28" t="s">
        <x:v>25</x:v>
      </x:c>
      <x:c r="D1" s="28" t="s">
        <x:v>26</x:v>
      </x:c>
      <x:c r="E1" s="28" t="s">
        <x:v>27</x:v>
      </x:c>
      <x:c r="F1" s="28" t="s">
        <x:v>28</x:v>
      </x:c>
      <x:c r="G1" s="28" t="s">
        <x:v>29</x:v>
      </x:c>
      <x:c r="H1" s="28" t="s">
        <x:v>30</x:v>
      </x:c>
      <x:c r="I1" s="28" t="s">
        <x:v>31</x:v>
      </x:c>
      <x:c r="J1" s="28" t="s">
        <x:v>32</x:v>
      </x:c>
      <x:c r="K1" s="29" t="s">
        <x:v>33</x:v>
      </x:c>
    </x:row>
    <x:row r="2" ht="40.5">
      <x:c r="A2" s="34" t="s">
        <x:v>34</x:v>
      </x:c>
      <x:c r="B2" s="35" t="s">
        <x:v>11</x:v>
      </x:c>
      <x:c r="C2" s="31" t="s">
        <x:v>35</x:v>
      </x:c>
      <x:c r="D2" s="36" t="s">
        <x:v>36</x:v>
      </x:c>
      <x:c r="E2" s="31" t="s">
        <x:v>37</x:v>
      </x:c>
      <x:c r="F2" s="31" t="s">
        <x:v>38</x:v>
      </x:c>
      <x:c r="G2" s="31" t="s">
        <x:v>39</x:v>
      </x:c>
      <x:c r="H2" s="31" t="s">
        <x:v>40</x:v>
      </x:c>
      <x:c r="I2" s="31" t="s">
        <x:v>41</x:v>
      </x:c>
      <x:c r="J2" s="31" t="s">
        <x:v>42</x:v>
      </x:c>
      <x:c r="K2" s="37" t="s">
        <x:v>43</x:v>
      </x:c>
    </x:row>
    <x:row r="3" ht="40.5">
      <x:c r="A3" s="34" t="s">
        <x:v>44</x:v>
      </x:c>
      <x:c r="B3" s="35" t="s">
        <x:v>11</x:v>
      </x:c>
      <x:c r="C3" s="31" t="s">
        <x:v>35</x:v>
      </x:c>
      <x:c r="D3" s="36" t="s">
        <x:v>45</x:v>
      </x:c>
      <x:c r="E3" s="31" t="s">
        <x:v>46</x:v>
      </x:c>
      <x:c r="F3" s="31" t="s">
        <x:v>47</x:v>
      </x:c>
      <x:c r="G3" s="31" t="s">
        <x:v>48</x:v>
      </x:c>
      <x:c r="H3" s="31" t="s">
        <x:v>40</x:v>
      </x:c>
      <x:c r="I3" s="31" t="s">
        <x:v>41</x:v>
      </x:c>
      <x:c r="J3" s="31" t="s">
        <x:v>42</x:v>
      </x:c>
      <x:c r="K3" s="37" t="s">
        <x:v>43</x:v>
      </x:c>
    </x:row>
    <x:row r="4" ht="40.5">
      <x:c r="A4" s="34" t="s">
        <x:v>49</x:v>
      </x:c>
      <x:c r="B4" s="35" t="s">
        <x:v>11</x:v>
      </x:c>
      <x:c r="C4" s="31" t="s">
        <x:v>35</x:v>
      </x:c>
      <x:c r="D4" s="36" t="s">
        <x:v>50</x:v>
      </x:c>
      <x:c r="E4" s="31" t="s">
        <x:v>51</x:v>
      </x:c>
      <x:c r="F4" s="31" t="s">
        <x:v>52</x:v>
      </x:c>
      <x:c r="G4" s="31" t="s">
        <x:v>53</x:v>
      </x:c>
      <x:c r="H4" s="31" t="s">
        <x:v>40</x:v>
      </x:c>
      <x:c r="I4" s="31" t="s">
        <x:v>41</x:v>
      </x:c>
      <x:c r="J4" s="31" t="s">
        <x:v>42</x:v>
      </x:c>
      <x:c r="K4" s="37" t="s">
        <x:v>43</x:v>
      </x:c>
    </x:row>
    <x:row r="5" ht="40.5">
      <x:c r="A5" s="34" t="s">
        <x:v>54</x:v>
      </x:c>
      <x:c r="B5" s="35" t="s">
        <x:v>11</x:v>
      </x:c>
      <x:c r="C5" s="31" t="s">
        <x:v>35</x:v>
      </x:c>
      <x:c r="D5" s="36" t="s">
        <x:v>55</x:v>
      </x:c>
      <x:c r="E5" s="31" t="s">
        <x:v>56</x:v>
      </x:c>
      <x:c r="F5" s="31" t="s">
        <x:v>57</x:v>
      </x:c>
      <x:c r="G5" s="31" t="s">
        <x:v>58</x:v>
      </x:c>
      <x:c r="H5" s="31" t="s">
        <x:v>40</x:v>
      </x:c>
      <x:c r="I5" s="31" t="s">
        <x:v>41</x:v>
      </x:c>
      <x:c r="J5" s="31" t="s">
        <x:v>42</x:v>
      </x:c>
      <x:c r="K5" s="37" t="s">
        <x:v>43</x:v>
      </x:c>
    </x:row>
    <x:row r="6" ht="40.5">
      <x:c r="A6" s="34" t="s">
        <x:v>59</x:v>
      </x:c>
      <x:c r="B6" s="35" t="s">
        <x:v>11</x:v>
      </x:c>
      <x:c r="C6" s="31" t="s">
        <x:v>60</x:v>
      </x:c>
      <x:c r="D6" s="36" t="s">
        <x:v>61</x:v>
      </x:c>
      <x:c r="E6" s="31" t="s">
        <x:v>62</x:v>
      </x:c>
      <x:c r="F6" s="31" t="s">
        <x:v>63</x:v>
      </x:c>
      <x:c r="G6" s="31" t="s">
        <x:v>64</x:v>
      </x:c>
      <x:c r="H6" s="31" t="s">
        <x:v>65</x:v>
      </x:c>
      <x:c r="I6" s="31" t="s">
        <x:v>41</x:v>
      </x:c>
      <x:c r="J6" s="31" t="s">
        <x:v>66</x:v>
      </x:c>
      <x:c r="K6" s="37" t="s">
        <x:v>67</x:v>
      </x:c>
    </x:row>
    <x:row r="7" ht="40.5">
      <x:c r="A7" s="34" t="s">
        <x:v>68</x:v>
      </x:c>
      <x:c r="B7" s="35" t="s">
        <x:v>11</x:v>
      </x:c>
      <x:c r="C7" s="31" t="s">
        <x:v>60</x:v>
      </x:c>
      <x:c r="D7" s="36" t="s">
        <x:v>69</x:v>
      </x:c>
      <x:c r="E7" s="31" t="s">
        <x:v>70</x:v>
      </x:c>
      <x:c r="F7" s="31" t="s">
        <x:v>71</x:v>
      </x:c>
      <x:c r="G7" s="31" t="s">
        <x:v>72</x:v>
      </x:c>
      <x:c r="H7" s="31" t="s">
        <x:v>40</x:v>
      </x:c>
      <x:c r="I7" s="31" t="s">
        <x:v>41</x:v>
      </x:c>
      <x:c r="J7" s="31" t="s">
        <x:v>42</x:v>
      </x:c>
      <x:c r="K7" s="37" t="s">
        <x:v>43</x:v>
      </x:c>
    </x:row>
    <x:row r="8" ht="40.5">
      <x:c r="A8" s="34" t="s">
        <x:v>73</x:v>
      </x:c>
      <x:c r="B8" s="35" t="s">
        <x:v>11</x:v>
      </x:c>
      <x:c r="C8" s="31" t="s">
        <x:v>60</x:v>
      </x:c>
      <x:c r="D8" s="36" t="s">
        <x:v>74</x:v>
      </x:c>
      <x:c r="E8" s="31" t="s">
        <x:v>75</x:v>
      </x:c>
      <x:c r="F8" s="31" t="s">
        <x:v>76</x:v>
      </x:c>
      <x:c r="G8" s="31" t="s">
        <x:v>77</x:v>
      </x:c>
      <x:c r="H8" s="31" t="s">
        <x:v>40</x:v>
      </x:c>
      <x:c r="I8" s="31" t="s">
        <x:v>41</x:v>
      </x:c>
      <x:c r="J8" s="31" t="s">
        <x:v>42</x:v>
      </x:c>
      <x:c r="K8" s="37" t="s">
        <x:v>43</x:v>
      </x:c>
    </x:row>
    <x:row r="9" ht="40.5">
      <x:c r="A9" s="34" t="s">
        <x:v>78</x:v>
      </x:c>
      <x:c r="B9" s="35" t="s">
        <x:v>11</x:v>
      </x:c>
      <x:c r="C9" s="31" t="s">
        <x:v>60</x:v>
      </x:c>
      <x:c r="D9" s="36" t="s">
        <x:v>79</x:v>
      </x:c>
      <x:c r="E9" s="31" t="s">
        <x:v>80</x:v>
      </x:c>
      <x:c r="F9" s="31" t="s">
        <x:v>81</x:v>
      </x:c>
      <x:c r="G9" s="31" t="s">
        <x:v>82</x:v>
      </x:c>
      <x:c r="H9" s="31" t="s">
        <x:v>83</x:v>
      </x:c>
      <x:c r="I9" s="31" t="s">
        <x:v>41</x:v>
      </x:c>
      <x:c r="J9" s="31" t="s">
        <x:v>84</x:v>
      </x:c>
      <x:c r="K9" s="37" t="s">
        <x:v>85</x:v>
      </x:c>
    </x:row>
    <x:row r="10" ht="40.5">
      <x:c r="A10" s="34" t="s">
        <x:v>86</x:v>
      </x:c>
      <x:c r="B10" s="35" t="s">
        <x:v>11</x:v>
      </x:c>
      <x:c r="C10" s="31" t="s">
        <x:v>60</x:v>
      </x:c>
      <x:c r="D10" s="36" t="s">
        <x:v>87</x:v>
      </x:c>
      <x:c r="E10" s="31" t="s">
        <x:v>88</x:v>
      </x:c>
      <x:c r="F10" s="31" t="s">
        <x:v>89</x:v>
      </x:c>
      <x:c r="G10" s="31" t="s">
        <x:v>90</x:v>
      </x:c>
      <x:c r="H10" s="31" t="s">
        <x:v>83</x:v>
      </x:c>
      <x:c r="I10" s="31" t="s">
        <x:v>41</x:v>
      </x:c>
      <x:c r="J10" s="31" t="s">
        <x:v>91</x:v>
      </x:c>
      <x:c r="K10" s="37" t="s">
        <x:v>85</x:v>
      </x:c>
    </x:row>
    <x:row r="11" ht="40.5">
      <x:c r="A11" s="34" t="s">
        <x:v>92</x:v>
      </x:c>
      <x:c r="B11" s="35" t="s">
        <x:v>11</x:v>
      </x:c>
      <x:c r="C11" s="31" t="s">
        <x:v>60</x:v>
      </x:c>
      <x:c r="D11" s="36" t="s">
        <x:v>93</x:v>
      </x:c>
      <x:c r="E11" s="31" t="s">
        <x:v>94</x:v>
      </x:c>
      <x:c r="F11" s="31" t="s">
        <x:v>95</x:v>
      </x:c>
      <x:c r="G11" s="31" t="s">
        <x:v>96</x:v>
      </x:c>
      <x:c r="H11" s="31" t="s">
        <x:v>83</x:v>
      </x:c>
      <x:c r="I11" s="31" t="s">
        <x:v>41</x:v>
      </x:c>
      <x:c r="J11" s="31" t="s">
        <x:v>97</x:v>
      </x:c>
      <x:c r="K11" s="37" t="s">
        <x:v>85</x:v>
      </x:c>
    </x:row>
    <x:row r="12" ht="27">
      <x:c r="A12" s="34" t="s">
        <x:v>98</x:v>
      </x:c>
      <x:c r="B12" s="35" t="s">
        <x:v>11</x:v>
      </x:c>
      <x:c r="C12" s="31" t="s">
        <x:v>60</x:v>
      </x:c>
      <x:c r="D12" s="36" t="s">
        <x:v>99</x:v>
      </x:c>
      <x:c r="E12" s="31" t="s">
        <x:v>100</x:v>
      </x:c>
      <x:c r="F12" s="31" t="s">
        <x:v>101</x:v>
      </x:c>
      <x:c r="G12" s="31" t="s">
        <x:v>102</x:v>
      </x:c>
      <x:c r="H12" s="31" t="s">
        <x:v>65</x:v>
      </x:c>
      <x:c r="I12" s="31" t="s">
        <x:v>41</x:v>
      </x:c>
      <x:c r="J12" s="31" t="s">
        <x:v>66</x:v>
      </x:c>
      <x:c r="K12" s="37" t="s">
        <x:v>67</x:v>
      </x:c>
    </x:row>
    <x:row r="13" ht="40.5">
      <x:c r="A13" s="34" t="s">
        <x:v>103</x:v>
      </x:c>
      <x:c r="B13" s="35" t="s">
        <x:v>11</x:v>
      </x:c>
      <x:c r="C13" s="31" t="s">
        <x:v>104</x:v>
      </x:c>
      <x:c r="D13" s="36" t="s">
        <x:v>105</x:v>
      </x:c>
      <x:c r="E13" s="31" t="s">
        <x:v>106</x:v>
      </x:c>
      <x:c r="F13" s="31" t="s">
        <x:v>107</x:v>
      </x:c>
      <x:c r="G13" s="31" t="s">
        <x:v>108</x:v>
      </x:c>
      <x:c r="H13" s="31" t="s">
        <x:v>40</x:v>
      </x:c>
      <x:c r="I13" s="31" t="s">
        <x:v>41</x:v>
      </x:c>
      <x:c r="J13" s="31" t="s">
        <x:v>42</x:v>
      </x:c>
      <x:c r="K13" s="37" t="s">
        <x:v>43</x:v>
      </x:c>
    </x:row>
    <x:row r="14" ht="40.5">
      <x:c r="A14" s="34" t="s">
        <x:v>109</x:v>
      </x:c>
      <x:c r="B14" s="35" t="s">
        <x:v>11</x:v>
      </x:c>
      <x:c r="C14" s="31" t="s">
        <x:v>104</x:v>
      </x:c>
      <x:c r="D14" s="36" t="s">
        <x:v>110</x:v>
      </x:c>
      <x:c r="E14" s="31" t="s">
        <x:v>111</x:v>
      </x:c>
      <x:c r="F14" s="31" t="s">
        <x:v>112</x:v>
      </x:c>
      <x:c r="G14" s="31" t="s">
        <x:v>113</x:v>
      </x:c>
      <x:c r="H14" s="31" t="s">
        <x:v>40</x:v>
      </x:c>
      <x:c r="I14" s="31" t="s">
        <x:v>41</x:v>
      </x:c>
      <x:c r="J14" s="31" t="s">
        <x:v>42</x:v>
      </x:c>
      <x:c r="K14" s="37" t="s">
        <x:v>43</x:v>
      </x:c>
    </x:row>
    <x:row r="15" ht="40.5">
      <x:c r="A15" s="34" t="s">
        <x:v>114</x:v>
      </x:c>
      <x:c r="B15" s="35" t="s">
        <x:v>11</x:v>
      </x:c>
      <x:c r="C15" s="31" t="s">
        <x:v>104</x:v>
      </x:c>
      <x:c r="D15" s="36" t="s">
        <x:v>115</x:v>
      </x:c>
      <x:c r="E15" s="31" t="s">
        <x:v>116</x:v>
      </x:c>
      <x:c r="F15" s="31" t="s">
        <x:v>117</x:v>
      </x:c>
      <x:c r="G15" s="31" t="s">
        <x:v>118</x:v>
      </x:c>
      <x:c r="H15" s="31" t="s">
        <x:v>40</x:v>
      </x:c>
      <x:c r="I15" s="31" t="s">
        <x:v>41</x:v>
      </x:c>
      <x:c r="J15" s="31" t="s">
        <x:v>42</x:v>
      </x:c>
      <x:c r="K15" s="37" t="s">
        <x:v>43</x:v>
      </x:c>
    </x:row>
    <x:row r="16" ht="40.5">
      <x:c r="A16" s="34" t="s">
        <x:v>119</x:v>
      </x:c>
      <x:c r="B16" s="35" t="s">
        <x:v>11</x:v>
      </x:c>
      <x:c r="C16" s="31" t="s">
        <x:v>104</x:v>
      </x:c>
      <x:c r="D16" s="36">
        <x:v>1184</x:v>
      </x:c>
      <x:c r="E16" s="31" t="s">
        <x:v>120</x:v>
      </x:c>
      <x:c r="F16" s="31" t="s">
        <x:v>121</x:v>
      </x:c>
      <x:c r="G16" s="31" t="s">
        <x:v>122</x:v>
      </x:c>
      <x:c r="H16" s="31" t="s">
        <x:v>40</x:v>
      </x:c>
      <x:c r="I16" s="31" t="s">
        <x:v>41</x:v>
      </x:c>
      <x:c r="J16" s="31" t="s">
        <x:v>123</x:v>
      </x:c>
      <x:c r="K16" s="37" t="s">
        <x:v>43</x:v>
      </x:c>
    </x:row>
    <x:row r="17" ht="27">
      <x:c r="A17" s="34" t="s">
        <x:v>124</x:v>
      </x:c>
      <x:c r="B17" s="35" t="s">
        <x:v>11</x:v>
      </x:c>
      <x:c r="C17" s="31" t="s">
        <x:v>125</x:v>
      </x:c>
      <x:c r="D17" s="38">
        <x:v>46046</x:v>
      </x:c>
      <x:c r="E17" s="31" t="s">
        <x:v>126</x:v>
      </x:c>
      <x:c r="F17" s="31" t="s">
        <x:v>127</x:v>
      </x:c>
      <x:c r="G17" s="31" t="s">
        <x:v>128</x:v>
      </x:c>
      <x:c r="H17" s="31" t="s">
        <x:v>65</x:v>
      </x:c>
      <x:c r="I17" s="31" t="s">
        <x:v>41</x:v>
      </x:c>
      <x:c r="J17" s="31" t="s">
        <x:v>66</x:v>
      </x:c>
      <x:c r="K17" s="37" t="s">
        <x:v>67</x:v>
      </x:c>
    </x:row>
    <x:row r="18" ht="40.5">
      <x:c r="A18" s="34" t="s">
        <x:v>129</x:v>
      </x:c>
      <x:c r="B18" s="35" t="s">
        <x:v>11</x:v>
      </x:c>
      <x:c r="C18" s="31" t="s">
        <x:v>130</x:v>
      </x:c>
      <x:c r="D18" s="38">
        <x:v>46041</x:v>
      </x:c>
      <x:c r="E18" s="31" t="s">
        <x:v>131</x:v>
      </x:c>
      <x:c r="F18" s="31" t="s">
        <x:v>132</x:v>
      </x:c>
      <x:c r="G18" s="31" t="s">
        <x:v>133</x:v>
      </x:c>
      <x:c r="H18" s="31" t="s">
        <x:v>40</x:v>
      </x:c>
      <x:c r="I18" s="31" t="s">
        <x:v>41</x:v>
      </x:c>
      <x:c r="J18" s="31" t="s">
        <x:v>42</x:v>
      </x:c>
      <x:c r="K18" s="37" t="s">
        <x:v>43</x:v>
      </x:c>
    </x:row>
    <x:row r="19" ht="40.5">
      <x:c r="A19" s="34" t="s">
        <x:v>134</x:v>
      </x:c>
      <x:c r="B19" s="35" t="s">
        <x:v>11</x:v>
      </x:c>
      <x:c r="C19" s="31" t="s">
        <x:v>135</x:v>
      </x:c>
      <x:c r="D19" s="38">
        <x:v>46202</x:v>
      </x:c>
      <x:c r="E19" s="31" t="s">
        <x:v>136</x:v>
      </x:c>
      <x:c r="F19" s="31" t="s">
        <x:v>137</x:v>
      </x:c>
      <x:c r="G19" s="31" t="s">
        <x:v>138</x:v>
      </x:c>
      <x:c r="H19" s="31" t="s">
        <x:v>40</x:v>
      </x:c>
      <x:c r="I19" s="31" t="s">
        <x:v>41</x:v>
      </x:c>
      <x:c r="J19" s="31" t="s">
        <x:v>42</x:v>
      </x:c>
      <x:c r="K19" s="37" t="s">
        <x:v>43</x:v>
      </x:c>
    </x:row>
    <x:row r="20" ht="40.5">
      <x:c r="A20" s="34" t="s">
        <x:v>139</x:v>
      </x:c>
      <x:c r="B20" s="35" t="s">
        <x:v>11</x:v>
      </x:c>
      <x:c r="C20" s="31" t="s">
        <x:v>140</x:v>
      </x:c>
      <x:c r="D20" s="38">
        <x:v>46040</x:v>
      </x:c>
      <x:c r="E20" s="31" t="s">
        <x:v>141</x:v>
      </x:c>
      <x:c r="F20" s="31" t="s">
        <x:v>142</x:v>
      </x:c>
      <x:c r="G20" s="31" t="s">
        <x:v>143</x:v>
      </x:c>
      <x:c r="H20" s="31" t="s">
        <x:v>40</x:v>
      </x:c>
      <x:c r="I20" s="31" t="s">
        <x:v>41</x:v>
      </x:c>
      <x:c r="J20" s="31" t="s">
        <x:v>42</x:v>
      </x:c>
      <x:c r="K20" s="37" t="s">
        <x:v>43</x:v>
      </x:c>
    </x:row>
    <x:row r="21" ht="40.5">
      <x:c r="A21" s="34" t="s">
        <x:v>144</x:v>
      </x:c>
      <x:c r="B21" s="35" t="s">
        <x:v>11</x:v>
      </x:c>
      <x:c r="C21" s="31" t="s">
        <x:v>145</x:v>
      </x:c>
      <x:c r="D21" s="39">
        <x:v>17715</x:v>
      </x:c>
      <x:c r="E21" s="31" t="s">
        <x:v>146</x:v>
      </x:c>
      <x:c r="F21" s="31" t="s">
        <x:v>147</x:v>
      </x:c>
      <x:c r="G21" s="31" t="s">
        <x:v>148</x:v>
      </x:c>
      <x:c r="H21" s="31" t="s">
        <x:v>40</x:v>
      </x:c>
      <x:c r="I21" s="31" t="s">
        <x:v>41</x:v>
      </x:c>
      <x:c r="J21" s="31" t="s">
        <x:v>42</x:v>
      </x:c>
      <x:c r="K21" s="37" t="s">
        <x:v>43</x:v>
      </x:c>
    </x:row>
    <x:row r="22" ht="27">
      <x:c r="A22" s="34" t="s">
        <x:v>149</x:v>
      </x:c>
      <x:c r="B22" s="35" t="s">
        <x:v>11</x:v>
      </x:c>
      <x:c r="C22" s="31" t="s">
        <x:v>150</x:v>
      </x:c>
      <x:c r="D22" s="36" t="s">
        <x:v>151</x:v>
      </x:c>
      <x:c r="E22" s="31" t="s">
        <x:v>152</x:v>
      </x:c>
      <x:c r="F22" s="31" t="s">
        <x:v>153</x:v>
      </x:c>
      <x:c r="G22" s="31" t="s">
        <x:v>154</x:v>
      </x:c>
      <x:c r="H22" s="31" t="s">
        <x:v>65</x:v>
      </x:c>
      <x:c r="I22" s="31" t="s">
        <x:v>41</x:v>
      </x:c>
      <x:c r="J22" s="31" t="s">
        <x:v>66</x:v>
      </x:c>
      <x:c r="K22" s="37" t="s">
        <x:v>67</x:v>
      </x:c>
    </x:row>
    <x:row r="23" ht="27">
      <x:c r="A23" s="34" t="s">
        <x:v>155</x:v>
      </x:c>
      <x:c r="B23" s="35" t="s">
        <x:v>11</x:v>
      </x:c>
      <x:c r="C23" s="31" t="s">
        <x:v>156</x:v>
      </x:c>
      <x:c r="D23" s="36" t="s">
        <x:v>157</x:v>
      </x:c>
      <x:c r="E23" s="31" t="s">
        <x:v>158</x:v>
      </x:c>
      <x:c r="F23" s="31" t="s">
        <x:v>159</x:v>
      </x:c>
      <x:c r="G23" s="31" t="s">
        <x:v>160</x:v>
      </x:c>
      <x:c r="H23" s="31" t="s">
        <x:v>65</x:v>
      </x:c>
      <x:c r="I23" s="31" t="s">
        <x:v>41</x:v>
      </x:c>
      <x:c r="J23" s="31" t="s">
        <x:v>161</x:v>
      </x:c>
      <x:c r="K23" s="37" t="s">
        <x:v>67</x:v>
      </x:c>
    </x:row>
    <x:row r="24" ht="27">
      <x:c r="A24" s="34" t="s">
        <x:v>162</x:v>
      </x:c>
      <x:c r="B24" s="35" t="s">
        <x:v>11</x:v>
      </x:c>
      <x:c r="C24" s="31" t="s">
        <x:v>163</x:v>
      </x:c>
      <x:c r="D24" s="36" t="s">
        <x:v>164</x:v>
      </x:c>
      <x:c r="E24" s="31" t="s">
        <x:v>165</x:v>
      </x:c>
      <x:c r="F24" s="31" t="s">
        <x:v>166</x:v>
      </x:c>
      <x:c r="G24" s="31" t="s">
        <x:v>167</x:v>
      </x:c>
      <x:c r="H24" s="31" t="s">
        <x:v>65</x:v>
      </x:c>
      <x:c r="I24" s="31" t="s">
        <x:v>41</x:v>
      </x:c>
      <x:c r="J24" s="31" t="s">
        <x:v>66</x:v>
      </x:c>
      <x:c r="K24" s="37" t="s">
        <x:v>67</x:v>
      </x:c>
    </x:row>
    <x:row r="25" ht="40.5">
      <x:c r="A25" s="34" t="s">
        <x:v>168</x:v>
      </x:c>
      <x:c r="B25" s="35" t="s">
        <x:v>11</x:v>
      </x:c>
      <x:c r="C25" s="31" t="s">
        <x:v>169</x:v>
      </x:c>
      <x:c r="D25" s="36" t="s">
        <x:v>170</x:v>
      </x:c>
      <x:c r="E25" s="31" t="s">
        <x:v>171</x:v>
      </x:c>
      <x:c r="F25" s="31" t="s">
        <x:v>172</x:v>
      </x:c>
      <x:c r="G25" s="31" t="s">
        <x:v>173</x:v>
      </x:c>
      <x:c r="H25" s="31" t="s">
        <x:v>65</x:v>
      </x:c>
      <x:c r="I25" s="31" t="s">
        <x:v>41</x:v>
      </x:c>
      <x:c r="J25" s="31" t="s">
        <x:v>174</x:v>
      </x:c>
      <x:c r="K25" s="37" t="s">
        <x:v>67</x:v>
      </x:c>
    </x:row>
    <x:row r="26" ht="40.5">
      <x:c r="A26" s="34" t="s">
        <x:v>175</x:v>
      </x:c>
      <x:c r="B26" s="35" t="s">
        <x:v>11</x:v>
      </x:c>
      <x:c r="C26" s="31" t="s">
        <x:v>176</x:v>
      </x:c>
      <x:c r="D26" s="36" t="s">
        <x:v>177</x:v>
      </x:c>
      <x:c r="E26" s="31" t="s">
        <x:v>178</x:v>
      </x:c>
      <x:c r="F26" s="31" t="s">
        <x:v>179</x:v>
      </x:c>
      <x:c r="G26" s="31" t="s">
        <x:v>180</x:v>
      </x:c>
      <x:c r="H26" s="31" t="s">
        <x:v>65</x:v>
      </x:c>
      <x:c r="I26" s="31" t="s">
        <x:v>41</x:v>
      </x:c>
      <x:c r="J26" s="31" t="s">
        <x:v>181</x:v>
      </x:c>
      <x:c r="K26" s="37" t="s">
        <x:v>67</x:v>
      </x:c>
    </x:row>
    <x:row r="27" ht="40.5">
      <x:c r="A27" s="34" t="s">
        <x:v>182</x:v>
      </x:c>
      <x:c r="B27" s="35" t="s">
        <x:v>11</x:v>
      </x:c>
      <x:c r="C27" s="31" t="s">
        <x:v>183</x:v>
      </x:c>
      <x:c r="D27" s="36" t="s">
        <x:v>184</x:v>
      </x:c>
      <x:c r="E27" s="31" t="s">
        <x:v>185</x:v>
      </x:c>
      <x:c r="F27" s="31" t="s">
        <x:v>186</x:v>
      </x:c>
      <x:c r="G27" s="31" t="s">
        <x:v>187</x:v>
      </x:c>
      <x:c r="H27" s="31" t="s">
        <x:v>83</x:v>
      </x:c>
      <x:c r="I27" s="31" t="s">
        <x:v>41</x:v>
      </x:c>
      <x:c r="J27" s="31" t="s">
        <x:v>84</x:v>
      </x:c>
      <x:c r="K27" s="37" t="s">
        <x:v>85</x:v>
      </x:c>
    </x:row>
    <x:row r="28" ht="40.5">
      <x:c r="A28" s="34" t="s">
        <x:v>188</x:v>
      </x:c>
      <x:c r="B28" s="35" t="s">
        <x:v>11</x:v>
      </x:c>
      <x:c r="C28" s="31" t="s">
        <x:v>189</x:v>
      </x:c>
      <x:c r="D28" s="38">
        <x:v>46045</x:v>
      </x:c>
      <x:c r="E28" s="31" t="s">
        <x:v>190</x:v>
      </x:c>
      <x:c r="F28" s="31" t="s">
        <x:v>191</x:v>
      </x:c>
      <x:c r="G28" s="31" t="s">
        <x:v>192</x:v>
      </x:c>
      <x:c r="H28" s="31" t="s">
        <x:v>40</x:v>
      </x:c>
      <x:c r="I28" s="31" t="s">
        <x:v>41</x:v>
      </x:c>
      <x:c r="J28" s="31" t="s">
        <x:v>42</x:v>
      </x:c>
      <x:c r="K28" s="37" t="s">
        <x:v>43</x:v>
      </x:c>
    </x:row>
    <x:row r="29" ht="40.5">
      <x:c r="A29" s="34" t="s">
        <x:v>193</x:v>
      </x:c>
      <x:c r="B29" s="35" t="s">
        <x:v>11</x:v>
      </x:c>
      <x:c r="C29" s="31" t="s">
        <x:v>194</x:v>
      </x:c>
      <x:c r="D29" s="36" t="s">
        <x:v>195</x:v>
      </x:c>
      <x:c r="E29" s="31" t="s">
        <x:v>196</x:v>
      </x:c>
      <x:c r="F29" s="31" t="s">
        <x:v>197</x:v>
      </x:c>
      <x:c r="G29" s="31" t="s">
        <x:v>198</x:v>
      </x:c>
      <x:c r="H29" s="31" t="s">
        <x:v>83</x:v>
      </x:c>
      <x:c r="I29" s="31" t="s">
        <x:v>41</x:v>
      </x:c>
      <x:c r="J29" s="31" t="s">
        <x:v>199</x:v>
      </x:c>
      <x:c r="K29" s="37" t="s">
        <x:v>85</x:v>
      </x:c>
    </x:row>
    <x:row r="30" ht="40.5">
      <x:c r="A30" s="34" t="s">
        <x:v>200</x:v>
      </x:c>
      <x:c r="B30" s="35" t="s">
        <x:v>11</x:v>
      </x:c>
      <x:c r="C30" s="31" t="s">
        <x:v>201</x:v>
      </x:c>
      <x:c r="D30" s="36" t="s">
        <x:v>202</x:v>
      </x:c>
      <x:c r="E30" s="31" t="s">
        <x:v>203</x:v>
      </x:c>
      <x:c r="F30" s="31" t="s">
        <x:v>204</x:v>
      </x:c>
      <x:c r="G30" s="31" t="s">
        <x:v>205</x:v>
      </x:c>
      <x:c r="H30" s="31" t="s">
        <x:v>83</x:v>
      </x:c>
      <x:c r="I30" s="31" t="s">
        <x:v>41</x:v>
      </x:c>
      <x:c r="J30" s="31" t="s">
        <x:v>206</x:v>
      </x:c>
      <x:c r="K30" s="37" t="s">
        <x:v>85</x:v>
      </x:c>
    </x:row>
    <x:row r="31" ht="40.5">
      <x:c r="A31" s="34" t="s">
        <x:v>207</x:v>
      </x:c>
      <x:c r="B31" s="35" t="s">
        <x:v>11</x:v>
      </x:c>
      <x:c r="C31" s="31" t="s">
        <x:v>208</x:v>
      </x:c>
      <x:c r="D31" s="36" t="s">
        <x:v>209</x:v>
      </x:c>
      <x:c r="E31" s="31" t="s">
        <x:v>210</x:v>
      </x:c>
      <x:c r="F31" s="31" t="s">
        <x:v>211</x:v>
      </x:c>
      <x:c r="G31" s="31" t="s">
        <x:v>212</x:v>
      </x:c>
      <x:c r="H31" s="31" t="s">
        <x:v>40</x:v>
      </x:c>
      <x:c r="I31" s="31" t="s">
        <x:v>41</x:v>
      </x:c>
      <x:c r="J31" s="31" t="s">
        <x:v>42</x:v>
      </x:c>
      <x:c r="K31" s="37" t="s">
        <x:v>43</x:v>
      </x:c>
    </x:row>
    <x:row r="32" ht="40.5">
      <x:c r="A32" s="34" t="s">
        <x:v>213</x:v>
      </x:c>
      <x:c r="B32" s="35" t="s">
        <x:v>11</x:v>
      </x:c>
      <x:c r="C32" s="31" t="s">
        <x:v>214</x:v>
      </x:c>
      <x:c r="D32" s="36" t="s">
        <x:v>215</x:v>
      </x:c>
      <x:c r="E32" s="31" t="s">
        <x:v>216</x:v>
      </x:c>
      <x:c r="F32" s="31" t="s">
        <x:v>211</x:v>
      </x:c>
      <x:c r="G32" s="31" t="s">
        <x:v>212</x:v>
      </x:c>
      <x:c r="H32" s="31" t="s">
        <x:v>40</x:v>
      </x:c>
      <x:c r="I32" s="31" t="s">
        <x:v>41</x:v>
      </x:c>
      <x:c r="J32" s="31" t="s">
        <x:v>42</x:v>
      </x:c>
      <x:c r="K32" s="37" t="s">
        <x:v>43</x:v>
      </x:c>
    </x:row>
    <x:row r="33" ht="40.5">
      <x:c r="A33" s="34" t="s">
        <x:v>217</x:v>
      </x:c>
      <x:c r="B33" s="35" t="s">
        <x:v>11</x:v>
      </x:c>
      <x:c r="C33" s="31" t="s">
        <x:v>218</x:v>
      </x:c>
      <x:c r="D33" s="36" t="s">
        <x:v>219</x:v>
      </x:c>
      <x:c r="E33" s="31" t="s">
        <x:v>220</x:v>
      </x:c>
      <x:c r="F33" s="31" t="s">
        <x:v>221</x:v>
      </x:c>
      <x:c r="G33" s="31" t="s">
        <x:v>212</x:v>
      </x:c>
      <x:c r="H33" s="31" t="s">
        <x:v>40</x:v>
      </x:c>
      <x:c r="I33" s="31" t="s">
        <x:v>41</x:v>
      </x:c>
      <x:c r="J33" s="31" t="s">
        <x:v>42</x:v>
      </x:c>
      <x:c r="K33" s="37" t="s">
        <x:v>43</x:v>
      </x:c>
    </x:row>
    <x:row r="34" ht="40.5">
      <x:c r="A34" s="34" t="s">
        <x:v>222</x:v>
      </x:c>
      <x:c r="B34" s="35" t="s">
        <x:v>11</x:v>
      </x:c>
      <x:c r="C34" s="31" t="s">
        <x:v>223</x:v>
      </x:c>
      <x:c r="D34" s="36" t="s">
        <x:v>224</x:v>
      </x:c>
      <x:c r="E34" s="31" t="s">
        <x:v>225</x:v>
      </x:c>
      <x:c r="F34" s="31" t="s">
        <x:v>226</x:v>
      </x:c>
      <x:c r="G34" s="31" t="s">
        <x:v>227</x:v>
      </x:c>
      <x:c r="H34" s="31" t="s">
        <x:v>40</x:v>
      </x:c>
      <x:c r="I34" s="31" t="s">
        <x:v>41</x:v>
      </x:c>
      <x:c r="J34" s="31" t="s">
        <x:v>42</x:v>
      </x:c>
      <x:c r="K34" s="37" t="s">
        <x:v>43</x:v>
      </x:c>
    </x:row>
    <x:row r="35" ht="40.5">
      <x:c r="A35" s="34" t="s">
        <x:v>228</x:v>
      </x:c>
      <x:c r="B35" s="35" t="s">
        <x:v>11</x:v>
      </x:c>
      <x:c r="C35" s="31" t="s">
        <x:v>229</x:v>
      </x:c>
      <x:c r="D35" s="36" t="s">
        <x:v>230</x:v>
      </x:c>
      <x:c r="E35" s="31" t="s">
        <x:v>231</x:v>
      </x:c>
      <x:c r="F35" s="31" t="s">
        <x:v>232</x:v>
      </x:c>
      <x:c r="G35" s="31" t="s">
        <x:v>233</x:v>
      </x:c>
      <x:c r="H35" s="31" t="s">
        <x:v>40</x:v>
      </x:c>
      <x:c r="I35" s="31" t="s">
        <x:v>41</x:v>
      </x:c>
      <x:c r="J35" s="31" t="s">
        <x:v>42</x:v>
      </x:c>
      <x:c r="K35" s="37" t="s">
        <x:v>43</x:v>
      </x:c>
    </x:row>
    <x:row r="36" ht="40.5">
      <x:c r="A36" s="34" t="s">
        <x:v>234</x:v>
      </x:c>
      <x:c r="B36" s="35" t="s">
        <x:v>11</x:v>
      </x:c>
      <x:c r="C36" s="31" t="s">
        <x:v>35</x:v>
      </x:c>
      <x:c r="D36" s="31" t="s">
        <x:v>235</x:v>
      </x:c>
      <x:c r="E36" s="31" t="s">
        <x:v>236</x:v>
      </x:c>
      <x:c r="F36" s="31" t="s">
        <x:v>237</x:v>
      </x:c>
      <x:c r="G36" s="31" t="s">
        <x:v>238</x:v>
      </x:c>
      <x:c r="H36" s="31" t="s">
        <x:v>83</x:v>
      </x:c>
      <x:c r="I36" s="31" t="s">
        <x:v>239</x:v>
      </x:c>
      <x:c r="J36" s="31" t="s">
        <x:v>240</x:v>
      </x:c>
      <x:c r="K36" s="37" t="s">
        <x:v>85</x:v>
      </x:c>
    </x:row>
    <x:row r="37" ht="40.5">
      <x:c r="A37" s="34" t="s">
        <x:v>241</x:v>
      </x:c>
      <x:c r="B37" s="35" t="s">
        <x:v>11</x:v>
      </x:c>
      <x:c r="C37" s="31" t="s">
        <x:v>60</x:v>
      </x:c>
      <x:c r="D37" s="31" t="s">
        <x:v>242</x:v>
      </x:c>
      <x:c r="E37" s="31" t="s">
        <x:v>243</x:v>
      </x:c>
      <x:c r="F37" s="31" t="s">
        <x:v>244</x:v>
      </x:c>
      <x:c r="G37" s="31" t="s">
        <x:v>245</x:v>
      </x:c>
      <x:c r="H37" s="31" t="s">
        <x:v>83</x:v>
      </x:c>
      <x:c r="I37" s="31" t="s">
        <x:v>239</x:v>
      </x:c>
      <x:c r="J37" s="31" t="s">
        <x:v>240</x:v>
      </x:c>
      <x:c r="K37" s="37" t="s">
        <x:v>85</x:v>
      </x:c>
    </x:row>
    <x:row r="38" ht="40.5">
      <x:c r="A38" s="34" t="s">
        <x:v>246</x:v>
      </x:c>
      <x:c r="B38" s="35" t="s">
        <x:v>11</x:v>
      </x:c>
      <x:c r="C38" s="31" t="s">
        <x:v>247</x:v>
      </x:c>
      <x:c r="D38" s="31" t="s">
        <x:v>248</x:v>
      </x:c>
      <x:c r="E38" s="31" t="s">
        <x:v>249</x:v>
      </x:c>
      <x:c r="F38" s="31" t="s">
        <x:v>250</x:v>
      </x:c>
      <x:c r="G38" s="31" t="s">
        <x:v>251</x:v>
      </x:c>
      <x:c r="H38" s="31" t="s">
        <x:v>83</x:v>
      </x:c>
      <x:c r="I38" s="31" t="s">
        <x:v>239</x:v>
      </x:c>
      <x:c r="J38" s="31" t="s">
        <x:v>240</x:v>
      </x:c>
      <x:c r="K38" s="37" t="s">
        <x:v>85</x:v>
      </x:c>
    </x:row>
    <x:row r="39" ht="40.5">
      <x:c r="A39" s="34" t="s">
        <x:v>252</x:v>
      </x:c>
      <x:c r="B39" s="35" t="s">
        <x:v>11</x:v>
      </x:c>
      <x:c r="C39" s="31" t="s">
        <x:v>253</x:v>
      </x:c>
      <x:c r="D39" s="31" t="s">
        <x:v>254</x:v>
      </x:c>
      <x:c r="E39" s="31" t="s">
        <x:v>255</x:v>
      </x:c>
      <x:c r="F39" s="31" t="s">
        <x:v>256</x:v>
      </x:c>
      <x:c r="G39" s="31" t="s">
        <x:v>257</x:v>
      </x:c>
      <x:c r="H39" s="31" t="s">
        <x:v>83</x:v>
      </x:c>
      <x:c r="I39" s="31" t="s">
        <x:v>239</x:v>
      </x:c>
      <x:c r="J39" s="31" t="s">
        <x:v>240</x:v>
      </x:c>
      <x:c r="K39" s="37" t="s">
        <x:v>85</x:v>
      </x:c>
    </x:row>
    <x:row r="40" ht="40.5">
      <x:c r="A40" s="34" t="s">
        <x:v>258</x:v>
      </x:c>
      <x:c r="B40" s="35" t="s">
        <x:v>11</x:v>
      </x:c>
      <x:c r="C40" s="31" t="s">
        <x:v>259</x:v>
      </x:c>
      <x:c r="D40" s="31" t="s">
        <x:v>260</x:v>
      </x:c>
      <x:c r="E40" s="31" t="s">
        <x:v>261</x:v>
      </x:c>
      <x:c r="F40" s="31" t="s">
        <x:v>262</x:v>
      </x:c>
      <x:c r="G40" s="31" t="s">
        <x:v>263</x:v>
      </x:c>
      <x:c r="H40" s="31" t="s">
        <x:v>40</x:v>
      </x:c>
      <x:c r="I40" s="31" t="s">
        <x:v>239</x:v>
      </x:c>
      <x:c r="J40" s="31" t="s">
        <x:v>264</x:v>
      </x:c>
      <x:c r="K40" s="37" t="s">
        <x:v>43</x:v>
      </x:c>
    </x:row>
    <x:row r="41" ht="40.5">
      <x:c r="A41" s="34" t="s">
        <x:v>265</x:v>
      </x:c>
      <x:c r="B41" s="35" t="s">
        <x:v>11</x:v>
      </x:c>
      <x:c r="C41" s="31" t="s">
        <x:v>35</x:v>
      </x:c>
      <x:c r="D41" s="31" t="s">
        <x:v>266</x:v>
      </x:c>
      <x:c r="E41" s="31" t="s">
        <x:v>267</x:v>
      </x:c>
      <x:c r="F41" s="31" t="s">
        <x:v>268</x:v>
      </x:c>
      <x:c r="G41" s="31" t="s">
        <x:v>269</x:v>
      </x:c>
      <x:c r="H41" s="31" t="s">
        <x:v>83</x:v>
      </x:c>
      <x:c r="I41" s="31" t="s">
        <x:v>239</x:v>
      </x:c>
      <x:c r="J41" s="31" t="s">
        <x:v>240</x:v>
      </x:c>
      <x:c r="K41" s="37" t="s">
        <x:v>85</x:v>
      </x:c>
    </x:row>
    <x:row r="42" ht="40.5">
      <x:c r="A42" s="34" t="s">
        <x:v>270</x:v>
      </x:c>
      <x:c r="B42" s="35" t="s">
        <x:v>11</x:v>
      </x:c>
      <x:c r="C42" s="31" t="s">
        <x:v>60</x:v>
      </x:c>
      <x:c r="D42" s="31" t="s">
        <x:v>271</x:v>
      </x:c>
      <x:c r="E42" s="31" t="s">
        <x:v>272</x:v>
      </x:c>
      <x:c r="F42" s="31" t="s">
        <x:v>273</x:v>
      </x:c>
      <x:c r="G42" s="31" t="s">
        <x:v>274</x:v>
      </x:c>
      <x:c r="H42" s="31" t="s">
        <x:v>83</x:v>
      </x:c>
      <x:c r="I42" s="31" t="s">
        <x:v>239</x:v>
      </x:c>
      <x:c r="J42" s="31" t="s">
        <x:v>240</x:v>
      </x:c>
      <x:c r="K42" s="37" t="s">
        <x:v>85</x:v>
      </x:c>
    </x:row>
    <x:row r="43" ht="40.5">
      <x:c r="A43" s="34" t="s">
        <x:v>275</x:v>
      </x:c>
      <x:c r="B43" s="35" t="s">
        <x:v>11</x:v>
      </x:c>
      <x:c r="C43" s="31" t="s">
        <x:v>276</x:v>
      </x:c>
      <x:c r="D43" s="31" t="s">
        <x:v>277</x:v>
      </x:c>
      <x:c r="E43" s="31" t="s">
        <x:v>278</x:v>
      </x:c>
      <x:c r="F43" s="31" t="s">
        <x:v>279</x:v>
      </x:c>
      <x:c r="G43" s="31" t="s">
        <x:v>280</x:v>
      </x:c>
      <x:c r="H43" s="31" t="s">
        <x:v>83</x:v>
      </x:c>
      <x:c r="I43" s="31" t="s">
        <x:v>239</x:v>
      </x:c>
      <x:c r="J43" s="31" t="s">
        <x:v>240</x:v>
      </x:c>
      <x:c r="K43" s="37" t="s">
        <x:v>85</x:v>
      </x:c>
    </x:row>
    <x:row r="44" ht="40.5">
      <x:c r="A44" s="34" t="s">
        <x:v>281</x:v>
      </x:c>
      <x:c r="B44" s="35" t="s">
        <x:v>11</x:v>
      </x:c>
      <x:c r="C44" s="31" t="s">
        <x:v>35</x:v>
      </x:c>
      <x:c r="D44" s="31" t="s">
        <x:v>282</x:v>
      </x:c>
      <x:c r="E44" s="31" t="s">
        <x:v>283</x:v>
      </x:c>
      <x:c r="F44" s="31" t="s">
        <x:v>284</x:v>
      </x:c>
      <x:c r="G44" s="31" t="s">
        <x:v>285</x:v>
      </x:c>
      <x:c r="H44" s="31" t="s">
        <x:v>83</x:v>
      </x:c>
      <x:c r="I44" s="31" t="s">
        <x:v>239</x:v>
      </x:c>
      <x:c r="J44" s="31" t="s">
        <x:v>240</x:v>
      </x:c>
      <x:c r="K44" s="37" t="s">
        <x:v>85</x:v>
      </x:c>
    </x:row>
    <x:row r="45" ht="40.5">
      <x:c r="A45" s="34" t="s">
        <x:v>286</x:v>
      </x:c>
      <x:c r="B45" s="35" t="s">
        <x:v>11</x:v>
      </x:c>
      <x:c r="C45" s="31" t="s">
        <x:v>201</x:v>
      </x:c>
      <x:c r="D45" s="31" t="s">
        <x:v>287</x:v>
      </x:c>
      <x:c r="E45" s="31" t="s">
        <x:v>288</x:v>
      </x:c>
      <x:c r="F45" s="31" t="s">
        <x:v>289</x:v>
      </x:c>
      <x:c r="G45" s="31" t="s">
        <x:v>290</x:v>
      </x:c>
      <x:c r="H45" s="31" t="s">
        <x:v>83</x:v>
      </x:c>
      <x:c r="I45" s="31" t="s">
        <x:v>239</x:v>
      </x:c>
      <x:c r="J45" s="31" t="s">
        <x:v>240</x:v>
      </x:c>
      <x:c r="K45" s="37" t="s">
        <x:v>85</x:v>
      </x:c>
    </x:row>
    <x:row r="46" ht="40.5">
      <x:c r="A46" s="34" t="s">
        <x:v>291</x:v>
      </x:c>
      <x:c r="B46" s="35" t="s">
        <x:v>11</x:v>
      </x:c>
      <x:c r="C46" s="31" t="s">
        <x:v>60</x:v>
      </x:c>
      <x:c r="D46" s="31" t="s">
        <x:v>292</x:v>
      </x:c>
      <x:c r="E46" s="31" t="s">
        <x:v>293</x:v>
      </x:c>
      <x:c r="F46" s="31" t="s">
        <x:v>294</x:v>
      </x:c>
      <x:c r="G46" s="31" t="s">
        <x:v>295</x:v>
      </x:c>
      <x:c r="H46" s="31" t="s">
        <x:v>83</x:v>
      </x:c>
      <x:c r="I46" s="31" t="s">
        <x:v>296</x:v>
      </x:c>
      <x:c r="J46" s="31" t="s">
        <x:v>297</x:v>
      </x:c>
      <x:c r="K46" s="37" t="s">
        <x:v>85</x:v>
      </x:c>
    </x:row>
    <x:row r="47" ht="40.5">
      <x:c r="A47" s="34" t="s">
        <x:v>298</x:v>
      </x:c>
      <x:c r="B47" s="35" t="s">
        <x:v>16</x:v>
      </x:c>
      <x:c r="C47" s="31" t="s">
        <x:v>104</x:v>
      </x:c>
      <x:c r="D47" s="31" t="s">
        <x:v>299</x:v>
      </x:c>
      <x:c r="E47" s="31" t="s">
        <x:v>300</x:v>
      </x:c>
      <x:c r="F47" s="31" t="s">
        <x:v>301</x:v>
      </x:c>
      <x:c r="G47" s="31" t="s">
        <x:v>302</x:v>
      </x:c>
      <x:c r="H47" s="31" t="s">
        <x:v>83</x:v>
      </x:c>
      <x:c r="I47" s="31" t="s">
        <x:v>296</x:v>
      </x:c>
      <x:c r="J47" s="31" t="s">
        <x:v>303</x:v>
      </x:c>
      <x:c r="K47" s="37" t="s">
        <x:v>85</x:v>
      </x:c>
    </x:row>
    <x:row r="48" ht="27">
      <x:c r="A48" s="34" t="s">
        <x:v>304</x:v>
      </x:c>
      <x:c r="B48" s="35" t="s">
        <x:v>11</x:v>
      </x:c>
      <x:c r="C48" s="31" t="s">
        <x:v>305</x:v>
      </x:c>
      <x:c r="D48" s="31" t="s">
        <x:v>306</x:v>
      </x:c>
      <x:c r="E48" s="31" t="s">
        <x:v>307</x:v>
      </x:c>
      <x:c r="F48" s="31" t="s">
        <x:v>308</x:v>
      </x:c>
      <x:c r="G48" s="31" t="s">
        <x:v>309</x:v>
      </x:c>
      <x:c r="H48" s="31" t="s">
        <x:v>65</x:v>
      </x:c>
      <x:c r="I48" s="31" t="s">
        <x:v>296</x:v>
      </x:c>
      <x:c r="J48" s="31" t="s">
        <x:v>297</x:v>
      </x:c>
      <x:c r="K48" s="37" t="s">
        <x:v>67</x:v>
      </x:c>
    </x:row>
    <x:row r="49" ht="40.5">
      <x:c r="A49" s="34" t="s">
        <x:v>310</x:v>
      </x:c>
      <x:c r="B49" s="35" t="s">
        <x:v>11</x:v>
      </x:c>
      <x:c r="C49" s="31" t="s">
        <x:v>35</x:v>
      </x:c>
      <x:c r="D49" s="31" t="s">
        <x:v>311</x:v>
      </x:c>
      <x:c r="E49" s="31" t="s">
        <x:v>312</x:v>
      </x:c>
      <x:c r="F49" s="31" t="s">
        <x:v>313</x:v>
      </x:c>
      <x:c r="G49" s="31" t="s">
        <x:v>314</x:v>
      </x:c>
      <x:c r="H49" s="31" t="s">
        <x:v>83</x:v>
      </x:c>
      <x:c r="I49" s="31" t="s">
        <x:v>315</x:v>
      </x:c>
      <x:c r="J49" s="31" t="s">
        <x:v>316</x:v>
      </x:c>
      <x:c r="K49" s="37" t="s">
        <x:v>85</x:v>
      </x:c>
    </x:row>
    <x:row r="50" ht="40.5">
      <x:c r="A50" s="34" t="s">
        <x:v>317</x:v>
      </x:c>
      <x:c r="B50" s="35" t="s">
        <x:v>18</x:v>
      </x:c>
      <x:c r="C50" s="31" t="s">
        <x:v>318</x:v>
      </x:c>
      <x:c r="D50" s="31" t="s">
        <x:v>319</x:v>
      </x:c>
      <x:c r="E50" s="31" t="s">
        <x:v>320</x:v>
      </x:c>
      <x:c r="F50" s="31" t="s">
        <x:v>321</x:v>
      </x:c>
      <x:c r="G50" s="31" t="s">
        <x:v>322</x:v>
      </x:c>
      <x:c r="H50" s="31" t="s">
        <x:v>83</x:v>
      </x:c>
      <x:c r="I50" s="31" t="s">
        <x:v>315</x:v>
      </x:c>
      <x:c r="J50" s="31" t="s">
        <x:v>316</x:v>
      </x:c>
      <x:c r="K50" s="37" t="s">
        <x:v>85</x:v>
      </x:c>
    </x:row>
    <x:row r="51" ht="40.5">
      <x:c r="A51" s="34" t="s">
        <x:v>323</x:v>
      </x:c>
      <x:c r="B51" s="35" t="s">
        <x:v>16</x:v>
      </x:c>
      <x:c r="C51" s="31" t="s">
        <x:v>104</x:v>
      </x:c>
      <x:c r="D51" s="31" t="s">
        <x:v>324</x:v>
      </x:c>
      <x:c r="E51" s="31" t="s">
        <x:v>325</x:v>
      </x:c>
      <x:c r="F51" s="31" t="s">
        <x:v>326</x:v>
      </x:c>
      <x:c r="G51" s="31" t="s">
        <x:v>327</x:v>
      </x:c>
      <x:c r="H51" s="31" t="s">
        <x:v>83</x:v>
      </x:c>
      <x:c r="I51" s="31" t="s">
        <x:v>315</x:v>
      </x:c>
      <x:c r="J51" s="31" t="s">
        <x:v>328</x:v>
      </x:c>
      <x:c r="K51" s="37" t="s">
        <x:v>85</x:v>
      </x:c>
    </x:row>
    <x:row r="52" ht="40.5">
      <x:c r="A52" s="34" t="s">
        <x:v>329</x:v>
      </x:c>
      <x:c r="B52" s="35" t="s">
        <x:v>11</x:v>
      </x:c>
      <x:c r="C52" s="31" t="s">
        <x:v>60</x:v>
      </x:c>
      <x:c r="D52" s="31" t="s">
        <x:v>330</x:v>
      </x:c>
      <x:c r="E52" s="31" t="s">
        <x:v>331</x:v>
      </x:c>
      <x:c r="F52" s="31" t="s">
        <x:v>332</x:v>
      </x:c>
      <x:c r="G52" s="31" t="s">
        <x:v>333</x:v>
      </x:c>
      <x:c r="H52" s="31" t="s">
        <x:v>83</x:v>
      </x:c>
      <x:c r="I52" s="31" t="s">
        <x:v>315</x:v>
      </x:c>
      <x:c r="J52" s="31" t="s">
        <x:v>328</x:v>
      </x:c>
      <x:c r="K52" s="37" t="s">
        <x:v>85</x:v>
      </x:c>
    </x:row>
    <x:row r="53" ht="40.5">
      <x:c r="A53" s="34" t="s">
        <x:v>334</x:v>
      </x:c>
      <x:c r="B53" s="35" t="s">
        <x:v>11</x:v>
      </x:c>
      <x:c r="C53" s="31" t="s">
        <x:v>335</x:v>
      </x:c>
      <x:c r="D53" s="31" t="s">
        <x:v>336</x:v>
      </x:c>
      <x:c r="E53" s="31" t="s">
        <x:v>337</x:v>
      </x:c>
      <x:c r="F53" s="31" t="s">
        <x:v>338</x:v>
      </x:c>
      <x:c r="G53" s="31" t="s">
        <x:v>339</x:v>
      </x:c>
      <x:c r="H53" s="31" t="s">
        <x:v>83</x:v>
      </x:c>
      <x:c r="I53" s="31" t="s">
        <x:v>315</x:v>
      </x:c>
      <x:c r="J53" s="31" t="s">
        <x:v>316</x:v>
      </x:c>
      <x:c r="K53" s="37" t="s">
        <x:v>85</x:v>
      </x:c>
    </x:row>
    <x:row r="54" ht="40.5">
      <x:c r="A54" s="34" t="s">
        <x:v>340</x:v>
      </x:c>
      <x:c r="B54" s="35" t="s">
        <x:v>17</x:v>
      </x:c>
      <x:c r="C54" s="31" t="s">
        <x:v>341</x:v>
      </x:c>
      <x:c r="D54" s="31" t="s">
        <x:v>342</x:v>
      </x:c>
      <x:c r="E54" s="31" t="s">
        <x:v>343</x:v>
      </x:c>
      <x:c r="F54" s="31" t="s">
        <x:v>344</x:v>
      </x:c>
      <x:c r="G54" s="31" t="s">
        <x:v>345</x:v>
      </x:c>
      <x:c r="H54" s="31" t="s">
        <x:v>346</x:v>
      </x:c>
      <x:c r="I54" s="31" t="s">
        <x:v>315</x:v>
      </x:c>
      <x:c r="J54" s="31" t="s">
        <x:v>316</x:v>
      </x:c>
      <x:c r="K54" s="37" t="s">
        <x:v>347</x:v>
      </x:c>
    </x:row>
    <x:row r="55" ht="40.5">
      <x:c r="A55" s="34" t="s">
        <x:v>348</x:v>
      </x:c>
      <x:c r="B55" s="35" t="s">
        <x:v>12</x:v>
      </x:c>
      <x:c r="C55" s="31" t="s">
        <x:v>349</x:v>
      </x:c>
      <x:c r="D55" s="36" t="s">
        <x:v>350</x:v>
      </x:c>
      <x:c r="E55" s="31" t="s">
        <x:v>351</x:v>
      </x:c>
      <x:c r="F55" s="31" t="s">
        <x:v>352</x:v>
      </x:c>
      <x:c r="G55" s="31" t="s">
        <x:v>353</x:v>
      </x:c>
      <x:c r="H55" s="31" t="s">
        <x:v>40</x:v>
      </x:c>
      <x:c r="I55" s="31" t="s">
        <x:v>41</x:v>
      </x:c>
      <x:c r="J55" s="31" t="s">
        <x:v>42</x:v>
      </x:c>
      <x:c r="K55" s="37" t="s">
        <x:v>43</x:v>
      </x:c>
    </x:row>
    <x:row r="56" ht="40.5">
      <x:c r="A56" s="34" t="s">
        <x:v>354</x:v>
      </x:c>
      <x:c r="B56" s="35" t="s">
        <x:v>12</x:v>
      </x:c>
      <x:c r="C56" s="31" t="s">
        <x:v>355</x:v>
      </x:c>
      <x:c r="D56" s="38">
        <x:v>46026</x:v>
      </x:c>
      <x:c r="E56" s="31" t="s">
        <x:v>356</x:v>
      </x:c>
      <x:c r="F56" s="31" t="s">
        <x:v>357</x:v>
      </x:c>
      <x:c r="G56" s="31" t="s">
        <x:v>358</x:v>
      </x:c>
      <x:c r="H56" s="31" t="s">
        <x:v>40</x:v>
      </x:c>
      <x:c r="I56" s="31" t="s">
        <x:v>41</x:v>
      </x:c>
      <x:c r="J56" s="31" t="s">
        <x:v>42</x:v>
      </x:c>
      <x:c r="K56" s="37" t="s">
        <x:v>43</x:v>
      </x:c>
    </x:row>
    <x:row r="57" ht="40.5">
      <x:c r="A57" s="34" t="s">
        <x:v>359</x:v>
      </x:c>
      <x:c r="B57" s="35" t="s">
        <x:v>12</x:v>
      </x:c>
      <x:c r="C57" s="31" t="s">
        <x:v>360</x:v>
      </x:c>
      <x:c r="D57" s="36" t="s">
        <x:v>361</x:v>
      </x:c>
      <x:c r="E57" s="31" t="s">
        <x:v>362</x:v>
      </x:c>
      <x:c r="F57" s="31" t="s">
        <x:v>363</x:v>
      </x:c>
      <x:c r="G57" s="31" t="s">
        <x:v>364</x:v>
      </x:c>
      <x:c r="H57" s="31" t="s">
        <x:v>40</x:v>
      </x:c>
      <x:c r="I57" s="31" t="s">
        <x:v>41</x:v>
      </x:c>
      <x:c r="J57" s="31" t="s">
        <x:v>42</x:v>
      </x:c>
      <x:c r="K57" s="37" t="s">
        <x:v>43</x:v>
      </x:c>
    </x:row>
    <x:row r="58" ht="40.5">
      <x:c r="A58" s="34" t="s">
        <x:v>365</x:v>
      </x:c>
      <x:c r="B58" s="35" t="s">
        <x:v>12</x:v>
      </x:c>
      <x:c r="C58" s="31" t="s">
        <x:v>366</x:v>
      </x:c>
      <x:c r="D58" s="36" t="s">
        <x:v>367</x:v>
      </x:c>
      <x:c r="E58" s="31" t="s">
        <x:v>368</x:v>
      </x:c>
      <x:c r="F58" s="31" t="s">
        <x:v>369</x:v>
      </x:c>
      <x:c r="G58" s="31" t="s">
        <x:v>370</x:v>
      </x:c>
      <x:c r="H58" s="31" t="s">
        <x:v>40</x:v>
      </x:c>
      <x:c r="I58" s="31" t="s">
        <x:v>41</x:v>
      </x:c>
      <x:c r="J58" s="31" t="s">
        <x:v>42</x:v>
      </x:c>
      <x:c r="K58" s="37" t="s">
        <x:v>43</x:v>
      </x:c>
    </x:row>
    <x:row r="59" ht="40.5">
      <x:c r="A59" s="34" t="s">
        <x:v>371</x:v>
      </x:c>
      <x:c r="B59" s="35" t="s">
        <x:v>12</x:v>
      </x:c>
      <x:c r="C59" s="31" t="s">
        <x:v>372</x:v>
      </x:c>
      <x:c r="D59" s="38">
        <x:v>46030</x:v>
      </x:c>
      <x:c r="E59" s="31" t="s">
        <x:v>373</x:v>
      </x:c>
      <x:c r="F59" s="31" t="s">
        <x:v>374</x:v>
      </x:c>
      <x:c r="G59" s="31" t="s">
        <x:v>375</x:v>
      </x:c>
      <x:c r="H59" s="31" t="s">
        <x:v>40</x:v>
      </x:c>
      <x:c r="I59" s="31" t="s">
        <x:v>41</x:v>
      </x:c>
      <x:c r="J59" s="31" t="s">
        <x:v>42</x:v>
      </x:c>
      <x:c r="K59" s="37" t="s">
        <x:v>43</x:v>
      </x:c>
    </x:row>
    <x:row r="60" ht="40.5">
      <x:c r="A60" s="34" t="s">
        <x:v>376</x:v>
      </x:c>
      <x:c r="B60" s="35" t="s">
        <x:v>12</x:v>
      </x:c>
      <x:c r="C60" s="31" t="s">
        <x:v>377</x:v>
      </x:c>
      <x:c r="D60" s="36" t="s">
        <x:v>378</x:v>
      </x:c>
      <x:c r="E60" s="31" t="s">
        <x:v>379</x:v>
      </x:c>
      <x:c r="F60" s="31" t="s">
        <x:v>380</x:v>
      </x:c>
      <x:c r="G60" s="31" t="s">
        <x:v>381</x:v>
      </x:c>
      <x:c r="H60" s="31" t="s">
        <x:v>40</x:v>
      </x:c>
      <x:c r="I60" s="31" t="s">
        <x:v>41</x:v>
      </x:c>
      <x:c r="J60" s="31" t="s">
        <x:v>42</x:v>
      </x:c>
      <x:c r="K60" s="37" t="s">
        <x:v>43</x:v>
      </x:c>
    </x:row>
    <x:row r="61" ht="40.5">
      <x:c r="A61" s="34" t="s">
        <x:v>382</x:v>
      </x:c>
      <x:c r="B61" s="35" t="s">
        <x:v>12</x:v>
      </x:c>
      <x:c r="C61" s="31" t="s">
        <x:v>383</x:v>
      </x:c>
      <x:c r="D61" s="38">
        <x:v>46033</x:v>
      </x:c>
      <x:c r="E61" s="31" t="s">
        <x:v>373</x:v>
      </x:c>
      <x:c r="F61" s="31" t="s">
        <x:v>384</x:v>
      </x:c>
      <x:c r="G61" s="31" t="s">
        <x:v>385</x:v>
      </x:c>
      <x:c r="H61" s="31" t="s">
        <x:v>40</x:v>
      </x:c>
      <x:c r="I61" s="31" t="s">
        <x:v>41</x:v>
      </x:c>
      <x:c r="J61" s="31" t="s">
        <x:v>42</x:v>
      </x:c>
      <x:c r="K61" s="37" t="s">
        <x:v>43</x:v>
      </x:c>
    </x:row>
    <x:row r="62" ht="40.5">
      <x:c r="A62" s="34" t="s">
        <x:v>386</x:v>
      </x:c>
      <x:c r="B62" s="35" t="s">
        <x:v>12</x:v>
      </x:c>
      <x:c r="C62" s="31" t="s">
        <x:v>387</x:v>
      </x:c>
      <x:c r="D62" s="36" t="s">
        <x:v>388</x:v>
      </x:c>
      <x:c r="E62" s="31" t="s">
        <x:v>389</x:v>
      </x:c>
      <x:c r="F62" s="31" t="s">
        <x:v>390</x:v>
      </x:c>
      <x:c r="G62" s="31" t="s">
        <x:v>391</x:v>
      </x:c>
      <x:c r="H62" s="31" t="s">
        <x:v>40</x:v>
      </x:c>
      <x:c r="I62" s="31" t="s">
        <x:v>41</x:v>
      </x:c>
      <x:c r="J62" s="31" t="s">
        <x:v>42</x:v>
      </x:c>
      <x:c r="K62" s="37" t="s">
        <x:v>43</x:v>
      </x:c>
    </x:row>
    <x:row r="63" ht="40.5">
      <x:c r="A63" s="34" t="s">
        <x:v>392</x:v>
      </x:c>
      <x:c r="B63" s="35" t="s">
        <x:v>12</x:v>
      </x:c>
      <x:c r="C63" s="31" t="s">
        <x:v>393</x:v>
      </x:c>
      <x:c r="D63" s="36" t="s">
        <x:v>394</x:v>
      </x:c>
      <x:c r="E63" s="31" t="s">
        <x:v>395</x:v>
      </x:c>
      <x:c r="F63" s="31" t="s">
        <x:v>396</x:v>
      </x:c>
      <x:c r="G63" s="31" t="s">
        <x:v>397</x:v>
      </x:c>
      <x:c r="H63" s="31" t="s">
        <x:v>40</x:v>
      </x:c>
      <x:c r="I63" s="31" t="s">
        <x:v>41</x:v>
      </x:c>
      <x:c r="J63" s="31" t="s">
        <x:v>42</x:v>
      </x:c>
      <x:c r="K63" s="37" t="s">
        <x:v>43</x:v>
      </x:c>
    </x:row>
    <x:row r="64" ht="40.5">
      <x:c r="A64" s="34" t="s">
        <x:v>398</x:v>
      </x:c>
      <x:c r="B64" s="35" t="s">
        <x:v>12</x:v>
      </x:c>
      <x:c r="C64" s="31" t="s">
        <x:v>399</x:v>
      </x:c>
      <x:c r="D64" s="38">
        <x:v>46180</x:v>
      </x:c>
      <x:c r="E64" s="31" t="s">
        <x:v>400</x:v>
      </x:c>
      <x:c r="F64" s="31" t="s">
        <x:v>401</x:v>
      </x:c>
      <x:c r="G64" s="31" t="s">
        <x:v>402</x:v>
      </x:c>
      <x:c r="H64" s="31" t="s">
        <x:v>40</x:v>
      </x:c>
      <x:c r="I64" s="31" t="s">
        <x:v>41</x:v>
      </x:c>
      <x:c r="J64" s="31" t="s">
        <x:v>42</x:v>
      </x:c>
      <x:c r="K64" s="37" t="s">
        <x:v>43</x:v>
      </x:c>
    </x:row>
    <x:row r="65" ht="40.5">
      <x:c r="A65" s="34" t="s">
        <x:v>403</x:v>
      </x:c>
      <x:c r="B65" s="35" t="s">
        <x:v>12</x:v>
      </x:c>
      <x:c r="C65" s="31" t="s">
        <x:v>404</x:v>
      </x:c>
      <x:c r="D65" s="38">
        <x:v>46024</x:v>
      </x:c>
      <x:c r="E65" s="31" t="s">
        <x:v>373</x:v>
      </x:c>
      <x:c r="F65" s="31" t="s">
        <x:v>405</x:v>
      </x:c>
      <x:c r="G65" s="31" t="s">
        <x:v>406</x:v>
      </x:c>
      <x:c r="H65" s="31" t="s">
        <x:v>40</x:v>
      </x:c>
      <x:c r="I65" s="31" t="s">
        <x:v>41</x:v>
      </x:c>
      <x:c r="J65" s="31" t="s">
        <x:v>42</x:v>
      </x:c>
      <x:c r="K65" s="37" t="s">
        <x:v>43</x:v>
      </x:c>
    </x:row>
    <x:row r="66" ht="40.5">
      <x:c r="A66" s="34" t="s">
        <x:v>407</x:v>
      </x:c>
      <x:c r="B66" s="35" t="s">
        <x:v>12</x:v>
      </x:c>
      <x:c r="C66" s="31" t="s">
        <x:v>408</x:v>
      </x:c>
      <x:c r="D66" s="38">
        <x:v>46338</x:v>
      </x:c>
      <x:c r="E66" s="31" t="s">
        <x:v>409</x:v>
      </x:c>
      <x:c r="F66" s="31" t="s">
        <x:v>410</x:v>
      </x:c>
      <x:c r="G66" s="31" t="s">
        <x:v>411</x:v>
      </x:c>
      <x:c r="H66" s="31" t="s">
        <x:v>40</x:v>
      </x:c>
      <x:c r="I66" s="31" t="s">
        <x:v>41</x:v>
      </x:c>
      <x:c r="J66" s="31" t="s">
        <x:v>42</x:v>
      </x:c>
      <x:c r="K66" s="37" t="s">
        <x:v>43</x:v>
      </x:c>
    </x:row>
    <x:row r="67" ht="40.5">
      <x:c r="A67" s="34" t="s">
        <x:v>412</x:v>
      </x:c>
      <x:c r="B67" s="35" t="s">
        <x:v>12</x:v>
      </x:c>
      <x:c r="C67" s="31" t="s">
        <x:v>413</x:v>
      </x:c>
      <x:c r="D67" s="31" t="s">
        <x:v>414</x:v>
      </x:c>
      <x:c r="E67" s="31" t="s">
        <x:v>415</x:v>
      </x:c>
      <x:c r="F67" s="31" t="s">
        <x:v>416</x:v>
      </x:c>
      <x:c r="G67" s="31" t="s">
        <x:v>417</x:v>
      </x:c>
      <x:c r="H67" s="31" t="s">
        <x:v>40</x:v>
      </x:c>
      <x:c r="I67" s="31" t="s">
        <x:v>239</x:v>
      </x:c>
      <x:c r="J67" s="31" t="s">
        <x:v>240</x:v>
      </x:c>
      <x:c r="K67" s="37" t="s">
        <x:v>43</x:v>
      </x:c>
    </x:row>
    <x:row r="68" ht="40.5">
      <x:c r="A68" s="34" t="s">
        <x:v>418</x:v>
      </x:c>
      <x:c r="B68" s="35" t="s">
        <x:v>12</x:v>
      </x:c>
      <x:c r="C68" s="31" t="s">
        <x:v>419</x:v>
      </x:c>
      <x:c r="D68" s="31" t="s">
        <x:v>420</x:v>
      </x:c>
      <x:c r="E68" s="31" t="s">
        <x:v>421</x:v>
      </x:c>
      <x:c r="F68" s="31" t="s">
        <x:v>422</x:v>
      </x:c>
      <x:c r="G68" s="31" t="s">
        <x:v>423</x:v>
      </x:c>
      <x:c r="H68" s="31" t="s">
        <x:v>83</x:v>
      </x:c>
      <x:c r="I68" s="31" t="s">
        <x:v>239</x:v>
      </x:c>
      <x:c r="J68" s="31" t="s">
        <x:v>240</x:v>
      </x:c>
      <x:c r="K68" s="37" t="s">
        <x:v>85</x:v>
      </x:c>
    </x:row>
    <x:row r="69" ht="40.5">
      <x:c r="A69" s="34" t="s">
        <x:v>424</x:v>
      </x:c>
      <x:c r="B69" s="35" t="s">
        <x:v>12</x:v>
      </x:c>
      <x:c r="C69" s="31" t="s">
        <x:v>425</x:v>
      </x:c>
      <x:c r="D69" s="31" t="s">
        <x:v>426</x:v>
      </x:c>
      <x:c r="E69" s="31" t="s">
        <x:v>427</x:v>
      </x:c>
      <x:c r="F69" s="31" t="s">
        <x:v>428</x:v>
      </x:c>
      <x:c r="G69" s="31" t="s">
        <x:v>429</x:v>
      </x:c>
      <x:c r="H69" s="31" t="s">
        <x:v>40</x:v>
      </x:c>
      <x:c r="I69" s="31" t="s">
        <x:v>239</x:v>
      </x:c>
      <x:c r="J69" s="31" t="s">
        <x:v>240</x:v>
      </x:c>
      <x:c r="K69" s="37" t="s">
        <x:v>43</x:v>
      </x:c>
    </x:row>
    <x:row r="70" ht="40.5">
      <x:c r="A70" s="34" t="s">
        <x:v>430</x:v>
      </x:c>
      <x:c r="B70" s="35" t="s">
        <x:v>14</x:v>
      </x:c>
      <x:c r="C70" s="31" t="s">
        <x:v>431</x:v>
      </x:c>
      <x:c r="D70" s="36" t="s">
        <x:v>432</x:v>
      </x:c>
      <x:c r="E70" s="31" t="s">
        <x:v>433</x:v>
      </x:c>
      <x:c r="F70" s="31" t="s">
        <x:v>434</x:v>
      </x:c>
      <x:c r="G70" s="31" t="s">
        <x:v>435</x:v>
      </x:c>
      <x:c r="H70" s="31" t="s">
        <x:v>346</x:v>
      </x:c>
      <x:c r="I70" s="31" t="s">
        <x:v>41</x:v>
      </x:c>
      <x:c r="J70" s="31" t="s">
        <x:v>66</x:v>
      </x:c>
      <x:c r="K70" s="37" t="s">
        <x:v>347</x:v>
      </x:c>
    </x:row>
    <x:row r="71" ht="40.5">
      <x:c r="A71" s="34" t="s">
        <x:v>436</x:v>
      </x:c>
      <x:c r="B71" s="35" t="s">
        <x:v>14</x:v>
      </x:c>
      <x:c r="C71" s="31" t="s">
        <x:v>431</x:v>
      </x:c>
      <x:c r="D71" s="36">
        <x:v>155</x:v>
      </x:c>
      <x:c r="E71" s="31" t="s">
        <x:v>437</x:v>
      </x:c>
      <x:c r="F71" s="31" t="s">
        <x:v>438</x:v>
      </x:c>
      <x:c r="G71" s="31" t="s">
        <x:v>439</x:v>
      </x:c>
      <x:c r="H71" s="31" t="s">
        <x:v>346</x:v>
      </x:c>
      <x:c r="I71" s="31" t="s">
        <x:v>41</x:v>
      </x:c>
      <x:c r="J71" s="31" t="s">
        <x:v>66</x:v>
      </x:c>
      <x:c r="K71" s="37" t="s">
        <x:v>347</x:v>
      </x:c>
    </x:row>
    <x:row r="72" ht="40.5">
      <x:c r="A72" s="34" t="s">
        <x:v>440</x:v>
      </x:c>
      <x:c r="B72" s="35" t="s">
        <x:v>14</x:v>
      </x:c>
      <x:c r="C72" s="31" t="s">
        <x:v>431</x:v>
      </x:c>
      <x:c r="D72" s="36" t="s">
        <x:v>441</x:v>
      </x:c>
      <x:c r="E72" s="31" t="s">
        <x:v>442</x:v>
      </x:c>
      <x:c r="F72" s="31" t="s">
        <x:v>443</x:v>
      </x:c>
      <x:c r="G72" s="31" t="s">
        <x:v>444</x:v>
      </x:c>
      <x:c r="H72" s="31" t="s">
        <x:v>346</x:v>
      </x:c>
      <x:c r="I72" s="31" t="s">
        <x:v>41</x:v>
      </x:c>
      <x:c r="J72" s="31" t="s">
        <x:v>66</x:v>
      </x:c>
      <x:c r="K72" s="37" t="s">
        <x:v>347</x:v>
      </x:c>
    </x:row>
    <x:row r="73" ht="40.5">
      <x:c r="A73" s="34" t="s">
        <x:v>445</x:v>
      </x:c>
      <x:c r="B73" s="35" t="s">
        <x:v>14</x:v>
      </x:c>
      <x:c r="C73" s="31" t="s">
        <x:v>431</x:v>
      </x:c>
      <x:c r="D73" s="36" t="s">
        <x:v>446</x:v>
      </x:c>
      <x:c r="E73" s="31" t="s">
        <x:v>447</x:v>
      </x:c>
      <x:c r="F73" s="31" t="s">
        <x:v>448</x:v>
      </x:c>
      <x:c r="G73" s="31" t="s">
        <x:v>449</x:v>
      </x:c>
      <x:c r="H73" s="31" t="s">
        <x:v>346</x:v>
      </x:c>
      <x:c r="I73" s="31" t="s">
        <x:v>41</x:v>
      </x:c>
      <x:c r="J73" s="31" t="s">
        <x:v>66</x:v>
      </x:c>
      <x:c r="K73" s="37" t="s">
        <x:v>347</x:v>
      </x:c>
    </x:row>
    <x:row r="74" ht="40.5">
      <x:c r="A74" s="34" t="s">
        <x:v>450</x:v>
      </x:c>
      <x:c r="B74" s="35" t="s">
        <x:v>14</x:v>
      </x:c>
      <x:c r="C74" s="31" t="s">
        <x:v>451</x:v>
      </x:c>
      <x:c r="D74" s="36" t="s">
        <x:v>452</x:v>
      </x:c>
      <x:c r="E74" s="31" t="s">
        <x:v>453</x:v>
      </x:c>
      <x:c r="F74" s="31" t="s">
        <x:v>454</x:v>
      </x:c>
      <x:c r="G74" s="31" t="s">
        <x:v>455</x:v>
      </x:c>
      <x:c r="H74" s="31" t="s">
        <x:v>346</x:v>
      </x:c>
      <x:c r="I74" s="31" t="s">
        <x:v>41</x:v>
      </x:c>
      <x:c r="J74" s="31" t="s">
        <x:v>66</x:v>
      </x:c>
      <x:c r="K74" s="37" t="s">
        <x:v>347</x:v>
      </x:c>
    </x:row>
    <x:row r="75" ht="40.5">
      <x:c r="A75" s="34" t="s">
        <x:v>456</x:v>
      </x:c>
      <x:c r="B75" s="35" t="s">
        <x:v>14</x:v>
      </x:c>
      <x:c r="C75" s="31" t="s">
        <x:v>451</x:v>
      </x:c>
      <x:c r="D75" s="36" t="s">
        <x:v>457</x:v>
      </x:c>
      <x:c r="E75" s="31" t="s">
        <x:v>458</x:v>
      </x:c>
      <x:c r="F75" s="31" t="s">
        <x:v>459</x:v>
      </x:c>
      <x:c r="G75" s="31" t="s">
        <x:v>460</x:v>
      </x:c>
      <x:c r="H75" s="31" t="s">
        <x:v>346</x:v>
      </x:c>
      <x:c r="I75" s="31" t="s">
        <x:v>41</x:v>
      </x:c>
      <x:c r="J75" s="31" t="s">
        <x:v>66</x:v>
      </x:c>
      <x:c r="K75" s="37" t="s">
        <x:v>347</x:v>
      </x:c>
    </x:row>
    <x:row r="76" ht="40.5">
      <x:c r="A76" s="34" t="s">
        <x:v>461</x:v>
      </x:c>
      <x:c r="B76" s="35" t="s">
        <x:v>14</x:v>
      </x:c>
      <x:c r="C76" s="31" t="s">
        <x:v>451</x:v>
      </x:c>
      <x:c r="D76" s="36" t="s">
        <x:v>462</x:v>
      </x:c>
      <x:c r="E76" s="31" t="s">
        <x:v>463</x:v>
      </x:c>
      <x:c r="F76" s="31" t="s">
        <x:v>464</x:v>
      </x:c>
      <x:c r="G76" s="31" t="s">
        <x:v>465</x:v>
      </x:c>
      <x:c r="H76" s="31" t="s">
        <x:v>346</x:v>
      </x:c>
      <x:c r="I76" s="31" t="s">
        <x:v>41</x:v>
      </x:c>
      <x:c r="J76" s="31" t="s">
        <x:v>66</x:v>
      </x:c>
      <x:c r="K76" s="37" t="s">
        <x:v>347</x:v>
      </x:c>
    </x:row>
    <x:row r="77" ht="40.5">
      <x:c r="A77" s="34" t="s">
        <x:v>466</x:v>
      </x:c>
      <x:c r="B77" s="35" t="s">
        <x:v>14</x:v>
      </x:c>
      <x:c r="C77" s="31" t="s">
        <x:v>467</x:v>
      </x:c>
      <x:c r="D77" s="31" t="s">
        <x:v>254</x:v>
      </x:c>
      <x:c r="E77" s="31" t="s">
        <x:v>468</x:v>
      </x:c>
      <x:c r="F77" s="31" t="s">
        <x:v>469</x:v>
      </x:c>
      <x:c r="G77" s="31" t="s">
        <x:v>470</x:v>
      </x:c>
      <x:c r="H77" s="31" t="s">
        <x:v>346</x:v>
      </x:c>
      <x:c r="I77" s="31" t="s">
        <x:v>239</x:v>
      </x:c>
      <x:c r="J77" s="31" t="s">
        <x:v>240</x:v>
      </x:c>
      <x:c r="K77" s="37" t="s">
        <x:v>347</x:v>
      </x:c>
    </x:row>
    <x:row r="78" ht="40.5">
      <x:c r="A78" s="34" t="s">
        <x:v>471</x:v>
      </x:c>
      <x:c r="B78" s="35" t="s">
        <x:v>14</x:v>
      </x:c>
      <x:c r="C78" s="31" t="s">
        <x:v>472</x:v>
      </x:c>
      <x:c r="D78" s="31" t="s">
        <x:v>254</x:v>
      </x:c>
      <x:c r="E78" s="31" t="s">
        <x:v>473</x:v>
      </x:c>
      <x:c r="F78" s="31" t="s">
        <x:v>474</x:v>
      </x:c>
      <x:c r="G78" s="31" t="s">
        <x:v>475</x:v>
      </x:c>
      <x:c r="H78" s="31" t="s">
        <x:v>346</x:v>
      </x:c>
      <x:c r="I78" s="31" t="s">
        <x:v>239</x:v>
      </x:c>
      <x:c r="J78" s="31" t="s">
        <x:v>240</x:v>
      </x:c>
      <x:c r="K78" s="37" t="s">
        <x:v>347</x:v>
      </x:c>
    </x:row>
    <x:row r="79" ht="40.5">
      <x:c r="A79" s="34" t="s">
        <x:v>476</x:v>
      </x:c>
      <x:c r="B79" s="35" t="s">
        <x:v>14</x:v>
      </x:c>
      <x:c r="C79" s="31" t="s">
        <x:v>477</x:v>
      </x:c>
      <x:c r="D79" s="31" t="s">
        <x:v>254</x:v>
      </x:c>
      <x:c r="E79" s="31" t="s">
        <x:v>478</x:v>
      </x:c>
      <x:c r="F79" s="31" t="s">
        <x:v>479</x:v>
      </x:c>
      <x:c r="G79" s="31" t="s">
        <x:v>480</x:v>
      </x:c>
      <x:c r="H79" s="31" t="s">
        <x:v>346</x:v>
      </x:c>
      <x:c r="I79" s="31" t="s">
        <x:v>239</x:v>
      </x:c>
      <x:c r="J79" s="31" t="s">
        <x:v>240</x:v>
      </x:c>
      <x:c r="K79" s="37" t="s">
        <x:v>347</x:v>
      </x:c>
    </x:row>
    <x:row r="80" ht="40.5">
      <x:c r="A80" s="34" t="s">
        <x:v>481</x:v>
      </x:c>
      <x:c r="B80" s="35" t="s">
        <x:v>14</x:v>
      </x:c>
      <x:c r="C80" s="31" t="s">
        <x:v>482</x:v>
      </x:c>
      <x:c r="D80" s="31" t="s">
        <x:v>483</x:v>
      </x:c>
      <x:c r="E80" s="31" t="s">
        <x:v>484</x:v>
      </x:c>
      <x:c r="F80" s="31" t="s">
        <x:v>485</x:v>
      </x:c>
      <x:c r="G80" s="31" t="s">
        <x:v>486</x:v>
      </x:c>
      <x:c r="H80" s="31" t="s">
        <x:v>346</x:v>
      </x:c>
      <x:c r="I80" s="31" t="s">
        <x:v>296</x:v>
      </x:c>
      <x:c r="J80" s="31" t="s">
        <x:v>297</x:v>
      </x:c>
      <x:c r="K80" s="37" t="s">
        <x:v>347</x:v>
      </x:c>
    </x:row>
    <x:row r="81" ht="40.5">
      <x:c r="A81" s="34" t="s">
        <x:v>487</x:v>
      </x:c>
      <x:c r="B81" s="35" t="s">
        <x:v>13</x:v>
      </x:c>
      <x:c r="C81" s="31" t="s">
        <x:v>488</x:v>
      </x:c>
      <x:c r="D81" s="36" t="s">
        <x:v>489</x:v>
      </x:c>
      <x:c r="E81" s="31" t="s">
        <x:v>490</x:v>
      </x:c>
      <x:c r="F81" s="31" t="s">
        <x:v>491</x:v>
      </x:c>
      <x:c r="G81" s="31" t="s">
        <x:v>492</x:v>
      </x:c>
      <x:c r="H81" s="31" t="s">
        <x:v>40</x:v>
      </x:c>
      <x:c r="I81" s="31" t="s">
        <x:v>41</x:v>
      </x:c>
      <x:c r="J81" s="31" t="s">
        <x:v>42</x:v>
      </x:c>
      <x:c r="K81" s="37" t="s">
        <x:v>43</x:v>
      </x:c>
    </x:row>
    <x:row r="82" ht="40.5">
      <x:c r="A82" s="34" t="s">
        <x:v>493</x:v>
      </x:c>
      <x:c r="B82" s="35" t="s">
        <x:v>13</x:v>
      </x:c>
      <x:c r="C82" s="31" t="s">
        <x:v>494</x:v>
      </x:c>
      <x:c r="D82" s="36" t="s">
        <x:v>495</x:v>
      </x:c>
      <x:c r="E82" s="31" t="s">
        <x:v>496</x:v>
      </x:c>
      <x:c r="F82" s="31" t="s">
        <x:v>497</x:v>
      </x:c>
      <x:c r="G82" s="31" t="s">
        <x:v>498</x:v>
      </x:c>
      <x:c r="H82" s="31" t="s">
        <x:v>40</x:v>
      </x:c>
      <x:c r="I82" s="31" t="s">
        <x:v>41</x:v>
      </x:c>
      <x:c r="J82" s="31" t="s">
        <x:v>42</x:v>
      </x:c>
      <x:c r="K82" s="37" t="s">
        <x:v>43</x:v>
      </x:c>
    </x:row>
    <x:row r="83" ht="40.5">
      <x:c r="A83" s="34" t="s">
        <x:v>499</x:v>
      </x:c>
      <x:c r="B83" s="35" t="s">
        <x:v>13</x:v>
      </x:c>
      <x:c r="C83" s="31" t="s">
        <x:v>494</x:v>
      </x:c>
      <x:c r="D83" s="36" t="s">
        <x:v>500</x:v>
      </x:c>
      <x:c r="E83" s="31" t="s">
        <x:v>501</x:v>
      </x:c>
      <x:c r="F83" s="31" t="s">
        <x:v>502</x:v>
      </x:c>
      <x:c r="G83" s="31" t="s">
        <x:v>503</x:v>
      </x:c>
      <x:c r="H83" s="31" t="s">
        <x:v>40</x:v>
      </x:c>
      <x:c r="I83" s="31" t="s">
        <x:v>41</x:v>
      </x:c>
      <x:c r="J83" s="31" t="s">
        <x:v>42</x:v>
      </x:c>
      <x:c r="K83" s="37" t="s">
        <x:v>43</x:v>
      </x:c>
    </x:row>
    <x:row r="84" ht="40.5">
      <x:c r="A84" s="34" t="s">
        <x:v>504</x:v>
      </x:c>
      <x:c r="B84" s="35" t="s">
        <x:v>13</x:v>
      </x:c>
      <x:c r="C84" s="31" t="s">
        <x:v>505</x:v>
      </x:c>
      <x:c r="D84" s="36" t="s">
        <x:v>506</x:v>
      </x:c>
      <x:c r="E84" s="31" t="s">
        <x:v>507</x:v>
      </x:c>
      <x:c r="F84" s="31" t="s">
        <x:v>508</x:v>
      </x:c>
      <x:c r="G84" s="31" t="s">
        <x:v>509</x:v>
      </x:c>
      <x:c r="H84" s="31" t="s">
        <x:v>40</x:v>
      </x:c>
      <x:c r="I84" s="31" t="s">
        <x:v>41</x:v>
      </x:c>
      <x:c r="J84" s="31" t="s">
        <x:v>42</x:v>
      </x:c>
      <x:c r="K84" s="37" t="s">
        <x:v>43</x:v>
      </x:c>
    </x:row>
    <x:row r="85" ht="40.5">
      <x:c r="A85" s="34" t="s">
        <x:v>510</x:v>
      </x:c>
      <x:c r="B85" s="35" t="s">
        <x:v>13</x:v>
      </x:c>
      <x:c r="C85" s="31" t="s">
        <x:v>511</x:v>
      </x:c>
      <x:c r="D85" s="36" t="s">
        <x:v>512</x:v>
      </x:c>
      <x:c r="E85" s="31" t="s">
        <x:v>513</x:v>
      </x:c>
      <x:c r="F85" s="31" t="s">
        <x:v>514</x:v>
      </x:c>
      <x:c r="G85" s="31" t="s">
        <x:v>515</x:v>
      </x:c>
      <x:c r="H85" s="31" t="s">
        <x:v>40</x:v>
      </x:c>
      <x:c r="I85" s="31" t="s">
        <x:v>41</x:v>
      </x:c>
      <x:c r="J85" s="31" t="s">
        <x:v>42</x:v>
      </x:c>
      <x:c r="K85" s="37" t="s">
        <x:v>43</x:v>
      </x:c>
    </x:row>
    <x:row r="86" ht="40.5">
      <x:c r="A86" s="34" t="s">
        <x:v>516</x:v>
      </x:c>
      <x:c r="B86" s="35" t="s">
        <x:v>13</x:v>
      </x:c>
      <x:c r="C86" s="31" t="s">
        <x:v>517</x:v>
      </x:c>
      <x:c r="D86" s="36" t="s">
        <x:v>518</x:v>
      </x:c>
      <x:c r="E86" s="31" t="s">
        <x:v>519</x:v>
      </x:c>
      <x:c r="F86" s="31" t="s">
        <x:v>520</x:v>
      </x:c>
      <x:c r="G86" s="31" t="s">
        <x:v>521</x:v>
      </x:c>
      <x:c r="H86" s="31" t="s">
        <x:v>40</x:v>
      </x:c>
      <x:c r="I86" s="31" t="s">
        <x:v>41</x:v>
      </x:c>
      <x:c r="J86" s="31" t="s">
        <x:v>42</x:v>
      </x:c>
      <x:c r="K86" s="37" t="s">
        <x:v>43</x:v>
      </x:c>
    </x:row>
    <x:row r="87" ht="40.5">
      <x:c r="A87" s="34" t="s">
        <x:v>522</x:v>
      </x:c>
      <x:c r="B87" s="35" t="s">
        <x:v>13</x:v>
      </x:c>
      <x:c r="C87" s="31" t="s">
        <x:v>523</x:v>
      </x:c>
      <x:c r="D87" s="36" t="s">
        <x:v>524</x:v>
      </x:c>
      <x:c r="E87" s="31" t="s">
        <x:v>525</x:v>
      </x:c>
      <x:c r="F87" s="31" t="s">
        <x:v>526</x:v>
      </x:c>
      <x:c r="G87" s="31" t="s">
        <x:v>527</x:v>
      </x:c>
      <x:c r="H87" s="31" t="s">
        <x:v>40</x:v>
      </x:c>
      <x:c r="I87" s="31" t="s">
        <x:v>41</x:v>
      </x:c>
      <x:c r="J87" s="31" t="s">
        <x:v>42</x:v>
      </x:c>
      <x:c r="K87" s="37" t="s">
        <x:v>43</x:v>
      </x:c>
    </x:row>
    <x:row r="88" ht="40.5">
      <x:c r="A88" s="34" t="s">
        <x:v>528</x:v>
      </x:c>
      <x:c r="B88" s="35" t="s">
        <x:v>13</x:v>
      </x:c>
      <x:c r="C88" s="31" t="s">
        <x:v>529</x:v>
      </x:c>
      <x:c r="D88" s="36" t="s">
        <x:v>530</x:v>
      </x:c>
      <x:c r="E88" s="31" t="s">
        <x:v>531</x:v>
      </x:c>
      <x:c r="F88" s="31" t="s">
        <x:v>532</x:v>
      </x:c>
      <x:c r="G88" s="31" t="s">
        <x:v>533</x:v>
      </x:c>
      <x:c r="H88" s="31" t="s">
        <x:v>40</x:v>
      </x:c>
      <x:c r="I88" s="31" t="s">
        <x:v>41</x:v>
      </x:c>
      <x:c r="J88" s="31" t="s">
        <x:v>42</x:v>
      </x:c>
      <x:c r="K88" s="37" t="s">
        <x:v>43</x:v>
      </x:c>
    </x:row>
    <x:row r="89" ht="40.5">
      <x:c r="A89" s="34" t="s">
        <x:v>534</x:v>
      </x:c>
      <x:c r="B89" s="35" t="s">
        <x:v>13</x:v>
      </x:c>
      <x:c r="C89" s="31" t="s">
        <x:v>535</x:v>
      </x:c>
      <x:c r="D89" s="36">
        <x:v>14</x:v>
      </x:c>
      <x:c r="E89" s="31" t="s">
        <x:v>536</x:v>
      </x:c>
      <x:c r="F89" s="31" t="s">
        <x:v>514</x:v>
      </x:c>
      <x:c r="G89" s="31" t="s">
        <x:v>537</x:v>
      </x:c>
      <x:c r="H89" s="31" t="s">
        <x:v>40</x:v>
      </x:c>
      <x:c r="I89" s="31" t="s">
        <x:v>41</x:v>
      </x:c>
      <x:c r="J89" s="31" t="s">
        <x:v>42</x:v>
      </x:c>
      <x:c r="K89" s="37" t="s">
        <x:v>43</x:v>
      </x:c>
    </x:row>
    <x:row r="90" ht="40.5">
      <x:c r="A90" s="34" t="s">
        <x:v>538</x:v>
      </x:c>
      <x:c r="B90" s="35" t="s">
        <x:v>13</x:v>
      </x:c>
      <x:c r="C90" s="31" t="s">
        <x:v>539</x:v>
      </x:c>
      <x:c r="D90" s="36">
        <x:v>19</x:v>
      </x:c>
      <x:c r="E90" s="31" t="s">
        <x:v>540</x:v>
      </x:c>
      <x:c r="F90" s="31" t="s">
        <x:v>541</x:v>
      </x:c>
      <x:c r="G90" s="31" t="s">
        <x:v>542</x:v>
      </x:c>
      <x:c r="H90" s="31" t="s">
        <x:v>40</x:v>
      </x:c>
      <x:c r="I90" s="31" t="s">
        <x:v>41</x:v>
      </x:c>
      <x:c r="J90" s="31" t="s">
        <x:v>42</x:v>
      </x:c>
      <x:c r="K90" s="37" t="s">
        <x:v>43</x:v>
      </x:c>
    </x:row>
    <x:row r="91" ht="40.5">
      <x:c r="A91" s="34" t="s">
        <x:v>543</x:v>
      </x:c>
      <x:c r="B91" s="35" t="s">
        <x:v>13</x:v>
      </x:c>
      <x:c r="C91" s="31" t="s">
        <x:v>544</x:v>
      </x:c>
      <x:c r="D91" s="36" t="s">
        <x:v>545</x:v>
      </x:c>
      <x:c r="E91" s="31" t="s">
        <x:v>546</x:v>
      </x:c>
      <x:c r="F91" s="31" t="s">
        <x:v>532</x:v>
      </x:c>
      <x:c r="G91" s="31" t="s">
        <x:v>547</x:v>
      </x:c>
      <x:c r="H91" s="31" t="s">
        <x:v>40</x:v>
      </x:c>
      <x:c r="I91" s="31" t="s">
        <x:v>41</x:v>
      </x:c>
      <x:c r="J91" s="31" t="s">
        <x:v>42</x:v>
      </x:c>
      <x:c r="K91" s="37" t="s">
        <x:v>43</x:v>
      </x:c>
    </x:row>
    <x:row r="92" ht="40.5">
      <x:c r="A92" s="34" t="s">
        <x:v>548</x:v>
      </x:c>
      <x:c r="B92" s="35" t="s">
        <x:v>13</x:v>
      </x:c>
      <x:c r="C92" s="31" t="s">
        <x:v>549</x:v>
      </x:c>
      <x:c r="D92" s="36">
        <x:v>14</x:v>
      </x:c>
      <x:c r="E92" s="31" t="s">
        <x:v>550</x:v>
      </x:c>
      <x:c r="F92" s="31" t="s">
        <x:v>514</x:v>
      </x:c>
      <x:c r="G92" s="31" t="s">
        <x:v>551</x:v>
      </x:c>
      <x:c r="H92" s="31" t="s">
        <x:v>40</x:v>
      </x:c>
      <x:c r="I92" s="31" t="s">
        <x:v>41</x:v>
      </x:c>
      <x:c r="J92" s="31" t="s">
        <x:v>42</x:v>
      </x:c>
      <x:c r="K92" s="37" t="s">
        <x:v>43</x:v>
      </x:c>
    </x:row>
    <x:row r="93" ht="40.5">
      <x:c r="A93" s="34" t="s">
        <x:v>552</x:v>
      </x:c>
      <x:c r="B93" s="35" t="s">
        <x:v>13</x:v>
      </x:c>
      <x:c r="C93" s="31" t="s">
        <x:v>553</x:v>
      </x:c>
      <x:c r="D93" s="36">
        <x:v>19</x:v>
      </x:c>
      <x:c r="E93" s="31" t="s">
        <x:v>554</x:v>
      </x:c>
      <x:c r="F93" s="31" t="s">
        <x:v>541</x:v>
      </x:c>
      <x:c r="G93" s="31" t="s">
        <x:v>551</x:v>
      </x:c>
      <x:c r="H93" s="31" t="s">
        <x:v>40</x:v>
      </x:c>
      <x:c r="I93" s="31" t="s">
        <x:v>41</x:v>
      </x:c>
      <x:c r="J93" s="31" t="s">
        <x:v>42</x:v>
      </x:c>
      <x:c r="K93" s="37" t="s">
        <x:v>43</x:v>
      </x:c>
    </x:row>
    <x:row r="94" ht="40.5">
      <x:c r="A94" s="34" t="s">
        <x:v>555</x:v>
      </x:c>
      <x:c r="B94" s="35" t="s">
        <x:v>16</x:v>
      </x:c>
      <x:c r="C94" s="31" t="s">
        <x:v>556</x:v>
      </x:c>
      <x:c r="D94" s="31" t="s">
        <x:v>557</x:v>
      </x:c>
      <x:c r="E94" s="31" t="s">
        <x:v>558</x:v>
      </x:c>
      <x:c r="F94" s="31" t="s">
        <x:v>559</x:v>
      </x:c>
      <x:c r="G94" s="31" t="s">
        <x:v>560</x:v>
      </x:c>
      <x:c r="H94" s="31" t="s">
        <x:v>83</x:v>
      </x:c>
      <x:c r="I94" s="31" t="s">
        <x:v>561</x:v>
      </x:c>
      <x:c r="J94" s="31" t="s">
        <x:v>562</x:v>
      </x:c>
      <x:c r="K94" s="37" t="s">
        <x:v>85</x:v>
      </x:c>
    </x:row>
    <x:row r="95" ht="40.5">
      <x:c r="A95" s="34" t="s">
        <x:v>563</x:v>
      </x:c>
      <x:c r="B95" s="35" t="s">
        <x:v>11</x:v>
      </x:c>
      <x:c r="C95" s="31" t="s">
        <x:v>564</x:v>
      </x:c>
      <x:c r="D95" s="31" t="s">
        <x:v>565</x:v>
      </x:c>
      <x:c r="E95" s="31" t="s">
        <x:v>566</x:v>
      </x:c>
      <x:c r="F95" s="31" t="s">
        <x:v>567</x:v>
      </x:c>
      <x:c r="G95" s="31" t="s">
        <x:v>568</x:v>
      </x:c>
      <x:c r="H95" s="31" t="s">
        <x:v>83</x:v>
      </x:c>
      <x:c r="I95" s="31" t="s">
        <x:v>561</x:v>
      </x:c>
      <x:c r="J95" s="31" t="s">
        <x:v>562</x:v>
      </x:c>
      <x:c r="K95" s="37" t="s">
        <x:v>85</x:v>
      </x:c>
    </x:row>
    <x:row r="96" ht="40.5">
      <x:c r="A96" s="34" t="s">
        <x:v>569</x:v>
      </x:c>
      <x:c r="B96" s="35" t="s">
        <x:v>15</x:v>
      </x:c>
      <x:c r="C96" s="31" t="s">
        <x:v>570</x:v>
      </x:c>
      <x:c r="D96" s="31" t="s">
        <x:v>571</x:v>
      </x:c>
      <x:c r="E96" s="31" t="s">
        <x:v>572</x:v>
      </x:c>
      <x:c r="F96" s="31" t="s">
        <x:v>573</x:v>
      </x:c>
      <x:c r="G96" s="31" t="s">
        <x:v>574</x:v>
      </x:c>
      <x:c r="H96" s="31" t="s">
        <x:v>83</x:v>
      </x:c>
      <x:c r="I96" s="31" t="s">
        <x:v>561</x:v>
      </x:c>
      <x:c r="J96" s="31" t="s">
        <x:v>562</x:v>
      </x:c>
      <x:c r="K96" s="37" t="s">
        <x:v>85</x:v>
      </x:c>
    </x:row>
    <x:row r="97" ht="40.5">
      <x:c r="A97" s="40" t="s">
        <x:v>575</x:v>
      </x:c>
      <x:c r="B97" s="41" t="s">
        <x:v>17</x:v>
      </x:c>
      <x:c r="C97" s="33" t="s">
        <x:v>576</x:v>
      </x:c>
      <x:c r="D97" s="33" t="s">
        <x:v>577</x:v>
      </x:c>
      <x:c r="E97" s="33" t="s">
        <x:v>578</x:v>
      </x:c>
      <x:c r="F97" s="33" t="s">
        <x:v>579</x:v>
      </x:c>
      <x:c r="G97" s="33" t="s">
        <x:v>580</x:v>
      </x:c>
      <x:c r="H97" s="33" t="s">
        <x:v>346</x:v>
      </x:c>
      <x:c r="I97" s="33" t="s">
        <x:v>561</x:v>
      </x:c>
      <x:c r="J97" s="33" t="s">
        <x:v>562</x:v>
      </x:c>
      <x:c r="K97" s="42" t="s">
        <x:v>347</x:v>
      </x:c>
    </x:row>
    <x:row r="98" ht="27">
      <x:c r="A98" s="40" t="s">
        <x:v>581</x:v>
      </x:c>
      <x:c r="B98" s="41" t="s">
        <x:v>18</x:v>
      </x:c>
      <x:c r="C98" s="48" t="s">
        <x:v>582</x:v>
      </x:c>
      <x:c r="D98" s="48" t="s">
        <x:v>583</x:v>
      </x:c>
      <x:c r="E98" s="48" t="s">
        <x:v>584</x:v>
      </x:c>
      <x:c r="F98" s="48" t="s">
        <x:v>585</x:v>
      </x:c>
      <x:c r="G98" s="48" t="s">
        <x:v>586</x:v>
      </x:c>
      <x:c r="H98" s="48" t="s">
        <x:v>83</x:v>
      </x:c>
      <x:c r="I98" s="48" t="s">
        <x:v>587</x:v>
      </x:c>
      <x:c r="J98" s="48" t="s">
        <x:v>588</x:v>
      </x:c>
      <x:c r="K98" s="49" t="s">
        <x:v>589</x:v>
      </x:c>
    </x:row>
    <x:row r="99" ht="27">
      <x:c r="A99" s="40" t="s">
        <x:v>590</x:v>
      </x:c>
      <x:c r="B99" s="41" t="s">
        <x:v>11</x:v>
      </x:c>
      <x:c r="C99" s="48" t="s">
        <x:v>35</x:v>
      </x:c>
      <x:c r="D99" s="48" t="s">
        <x:v>591</x:v>
      </x:c>
      <x:c r="E99" s="48" t="s">
        <x:v>592</x:v>
      </x:c>
      <x:c r="F99" s="48" t="s">
        <x:v>593</x:v>
      </x:c>
      <x:c r="G99" s="48" t="s">
        <x:v>594</x:v>
      </x:c>
      <x:c r="H99" s="48" t="s">
        <x:v>83</x:v>
      </x:c>
      <x:c r="I99" s="48" t="s">
        <x:v>587</x:v>
      </x:c>
      <x:c r="J99" s="48" t="s">
        <x:v>595</x:v>
      </x:c>
      <x:c r="K99" s="49" t="s">
        <x:v>596</x:v>
      </x:c>
    </x:row>
    <x:row r="100" ht="27">
      <x:c r="A100" s="40" t="s">
        <x:v>597</x:v>
      </x:c>
      <x:c r="B100" s="41" t="s">
        <x:v>11</x:v>
      </x:c>
      <x:c r="C100" s="48" t="s">
        <x:v>35</x:v>
      </x:c>
      <x:c r="D100" s="48" t="s">
        <x:v>598</x:v>
      </x:c>
      <x:c r="E100" s="48" t="s">
        <x:v>599</x:v>
      </x:c>
      <x:c r="F100" s="48" t="s">
        <x:v>600</x:v>
      </x:c>
      <x:c r="G100" s="48" t="s">
        <x:v>601</x:v>
      </x:c>
      <x:c r="H100" s="48" t="s">
        <x:v>83</x:v>
      </x:c>
      <x:c r="I100" s="48" t="s">
        <x:v>587</x:v>
      </x:c>
      <x:c r="J100" s="48" t="s">
        <x:v>602</x:v>
      </x:c>
      <x:c r="K100" s="49" t="s">
        <x:v>603</x:v>
      </x:c>
    </x:row>
    <x:row r="101" ht="27">
      <x:c r="A101" s="40" t="s">
        <x:v>604</x:v>
      </x:c>
      <x:c r="B101" s="41" t="s">
        <x:v>16</x:v>
      </x:c>
      <x:c r="C101" s="48" t="s">
        <x:v>104</x:v>
      </x:c>
      <x:c r="D101" s="48" t="s">
        <x:v>605</x:v>
      </x:c>
      <x:c r="E101" s="48" t="s">
        <x:v>606</x:v>
      </x:c>
      <x:c r="F101" s="48" t="s">
        <x:v>607</x:v>
      </x:c>
      <x:c r="G101" s="48" t="s">
        <x:v>608</x:v>
      </x:c>
      <x:c r="H101" s="48" t="s">
        <x:v>65</x:v>
      </x:c>
      <x:c r="I101" s="48" t="s">
        <x:v>587</x:v>
      </x:c>
      <x:c r="J101" s="48" t="s">
        <x:v>609</x:v>
      </x:c>
      <x:c r="K101" s="49" t="s">
        <x:v>610</x:v>
      </x:c>
    </x:row>
    <x:row r="102" ht="27">
      <x:c r="A102" s="40" t="s">
        <x:v>611</x:v>
      </x:c>
      <x:c r="B102" s="41" t="s">
        <x:v>11</x:v>
      </x:c>
      <x:c r="C102" s="48" t="s">
        <x:v>60</x:v>
      </x:c>
      <x:c r="D102" s="48" t="s">
        <x:v>612</x:v>
      </x:c>
      <x:c r="E102" s="48" t="s">
        <x:v>613</x:v>
      </x:c>
      <x:c r="F102" s="48" t="s">
        <x:v>614</x:v>
      </x:c>
      <x:c r="G102" s="48" t="s">
        <x:v>615</x:v>
      </x:c>
      <x:c r="H102" s="48" t="s">
        <x:v>83</x:v>
      </x:c>
      <x:c r="I102" s="48" t="s">
        <x:v>587</x:v>
      </x:c>
      <x:c r="J102" s="48" t="s">
        <x:v>616</x:v>
      </x:c>
      <x:c r="K102" s="49" t="s">
        <x:v>617</x:v>
      </x:c>
    </x:row>
    <x:row r="103" ht="40.5">
      <x:c r="A103" s="40" t="s">
        <x:v>618</x:v>
      </x:c>
      <x:c r="B103" s="41" t="s">
        <x:v>11</x:v>
      </x:c>
      <x:c r="C103" s="48" t="s">
        <x:v>619</x:v>
      </x:c>
      <x:c r="D103" s="48" t="s">
        <x:v>620</x:v>
      </x:c>
      <x:c r="E103" s="48" t="s">
        <x:v>621</x:v>
      </x:c>
      <x:c r="F103" s="48" t="s">
        <x:v>622</x:v>
      </x:c>
      <x:c r="G103" s="48" t="s">
        <x:v>623</x:v>
      </x:c>
      <x:c r="H103" s="48" t="s">
        <x:v>65</x:v>
      </x:c>
      <x:c r="I103" s="48" t="s">
        <x:v>587</x:v>
      </x:c>
      <x:c r="J103" s="48" t="s">
        <x:v>624</x:v>
      </x:c>
      <x:c r="K103" s="49" t="s">
        <x:v>625</x:v>
      </x:c>
    </x:row>
    <x:row r="104" ht="27">
      <x:c r="A104" s="40" t="s">
        <x:v>626</x:v>
      </x:c>
      <x:c r="B104" s="41" t="s">
        <x:v>11</x:v>
      </x:c>
      <x:c r="C104" s="48" t="s">
        <x:v>627</x:v>
      </x:c>
      <x:c r="D104" s="48" t="s">
        <x:v>628</x:v>
      </x:c>
      <x:c r="E104" s="48" t="s">
        <x:v>629</x:v>
      </x:c>
      <x:c r="F104" s="48" t="s">
        <x:v>630</x:v>
      </x:c>
      <x:c r="G104" s="48" t="s">
        <x:v>631</x:v>
      </x:c>
      <x:c r="H104" s="48" t="s">
        <x:v>83</x:v>
      </x:c>
      <x:c r="I104" s="48" t="s">
        <x:v>587</x:v>
      </x:c>
      <x:c r="J104" s="48" t="s">
        <x:v>632</x:v>
      </x:c>
      <x:c r="K104" s="49" t="s">
        <x:v>633</x:v>
      </x:c>
    </x:row>
    <x:row r="105" ht="27">
      <x:c r="A105" s="40" t="s">
        <x:v>634</x:v>
      </x:c>
      <x:c r="B105" s="41" t="s">
        <x:v>11</x:v>
      </x:c>
      <x:c r="C105" s="48" t="s">
        <x:v>635</x:v>
      </x:c>
      <x:c r="D105" s="48" t="s">
        <x:v>636</x:v>
      </x:c>
      <x:c r="E105" s="48" t="s">
        <x:v>637</x:v>
      </x:c>
      <x:c r="F105" s="48" t="s">
        <x:v>638</x:v>
      </x:c>
      <x:c r="G105" s="48" t="s">
        <x:v>639</x:v>
      </x:c>
      <x:c r="H105" s="48" t="s">
        <x:v>83</x:v>
      </x:c>
      <x:c r="I105" s="48" t="s">
        <x:v>587</x:v>
      </x:c>
      <x:c r="J105" s="48" t="s">
        <x:v>640</x:v>
      </x:c>
      <x:c r="K105" s="49" t="s">
        <x:v>641</x:v>
      </x:c>
    </x:row>
    <x:row r="106" ht="27">
      <x:c r="A106" s="40" t="s">
        <x:v>642</x:v>
      </x:c>
      <x:c r="B106" s="41" t="s">
        <x:v>17</x:v>
      </x:c>
      <x:c r="C106" s="50" t="s">
        <x:v>643</x:v>
      </x:c>
      <x:c r="D106" s="50" t="s">
        <x:v>644</x:v>
      </x:c>
      <x:c r="E106" s="50" t="s">
        <x:v>645</x:v>
      </x:c>
      <x:c r="F106" s="50" t="s">
        <x:v>646</x:v>
      </x:c>
      <x:c r="G106" s="50" t="s">
        <x:v>647</x:v>
      </x:c>
      <x:c r="H106" s="50" t="s">
        <x:v>346</x:v>
      </x:c>
      <x:c r="I106" s="50" t="s">
        <x:v>587</x:v>
      </x:c>
      <x:c r="J106" s="50" t="s">
        <x:v>648</x:v>
      </x:c>
      <x:c r="K106" s="51" t="s">
        <x:v>649</x:v>
      </x:c>
    </x:row>
    <x:row r="107" ht="27">
      <x:c r="A107" s="40" t="s">
        <x:v>650</x:v>
      </x:c>
      <x:c r="B107" s="41" t="s">
        <x:v>18</x:v>
      </x:c>
      <x:c r="C107" s="50" t="s">
        <x:v>651</x:v>
      </x:c>
      <x:c r="D107" s="50" t="s">
        <x:v>652</x:v>
      </x:c>
      <x:c r="E107" s="50" t="s">
        <x:v>653</x:v>
      </x:c>
      <x:c r="F107" s="50" t="s">
        <x:v>654</x:v>
      </x:c>
      <x:c r="G107" s="50" t="s">
        <x:v>655</x:v>
      </x:c>
      <x:c r="H107" s="50" t="s">
        <x:v>83</x:v>
      </x:c>
      <x:c r="I107" s="50" t="s">
        <x:v>656</x:v>
      </x:c>
      <x:c r="J107" s="50" t="s">
        <x:v>657</x:v>
      </x:c>
      <x:c r="K107" s="51" t="s">
        <x:v>658</x:v>
      </x:c>
    </x:row>
    <x:row r="108" ht="27">
      <x:c r="A108" s="40" t="s">
        <x:v>659</x:v>
      </x:c>
      <x:c r="B108" s="41" t="s">
        <x:v>11</x:v>
      </x:c>
      <x:c r="C108" s="50" t="s">
        <x:v>35</x:v>
      </x:c>
      <x:c r="D108" s="50" t="s">
        <x:v>660</x:v>
      </x:c>
      <x:c r="E108" s="50" t="s">
        <x:v>661</x:v>
      </x:c>
      <x:c r="F108" s="50" t="s">
        <x:v>662</x:v>
      </x:c>
      <x:c r="G108" s="50" t="s">
        <x:v>663</x:v>
      </x:c>
      <x:c r="H108" s="50" t="s">
        <x:v>83</x:v>
      </x:c>
      <x:c r="I108" s="50" t="s">
        <x:v>656</x:v>
      </x:c>
      <x:c r="J108" s="50" t="s">
        <x:v>664</x:v>
      </x:c>
      <x:c r="K108" s="51" t="s">
        <x:v>665</x:v>
      </x:c>
    </x:row>
    <x:row r="109" ht="27">
      <x:c r="A109" s="40" t="s">
        <x:v>666</x:v>
      </x:c>
      <x:c r="B109" s="41" t="s">
        <x:v>16</x:v>
      </x:c>
      <x:c r="C109" s="50" t="s">
        <x:v>104</x:v>
      </x:c>
      <x:c r="D109" s="50" t="s">
        <x:v>667</x:v>
      </x:c>
      <x:c r="E109" s="50" t="s">
        <x:v>668</x:v>
      </x:c>
      <x:c r="F109" s="50" t="s">
        <x:v>669</x:v>
      </x:c>
      <x:c r="G109" s="50" t="s">
        <x:v>670</x:v>
      </x:c>
      <x:c r="H109" s="50" t="s">
        <x:v>65</x:v>
      </x:c>
      <x:c r="I109" s="50" t="s">
        <x:v>656</x:v>
      </x:c>
      <x:c r="J109" s="50" t="s">
        <x:v>657</x:v>
      </x:c>
      <x:c r="K109" s="51" t="s">
        <x:v>671</x:v>
      </x:c>
    </x:row>
    <x:row r="110" ht="27">
      <x:c r="A110" s="40" t="s">
        <x:v>672</x:v>
      </x:c>
      <x:c r="B110" s="41" t="s">
        <x:v>11</x:v>
      </x:c>
      <x:c r="C110" s="50" t="s">
        <x:v>60</x:v>
      </x:c>
      <x:c r="D110" s="50" t="s">
        <x:v>673</x:v>
      </x:c>
      <x:c r="E110" s="50" t="s">
        <x:v>674</x:v>
      </x:c>
      <x:c r="F110" s="50" t="s">
        <x:v>675</x:v>
      </x:c>
      <x:c r="G110" s="50" t="s">
        <x:v>676</x:v>
      </x:c>
      <x:c r="H110" s="50" t="s">
        <x:v>83</x:v>
      </x:c>
      <x:c r="I110" s="50" t="s">
        <x:v>656</x:v>
      </x:c>
      <x:c r="J110" s="50" t="s">
        <x:v>677</x:v>
      </x:c>
      <x:c r="K110" s="51" t="s">
        <x:v>678</x:v>
      </x:c>
    </x:row>
    <x:row r="111" ht="40.5">
      <x:c r="A111" s="40" t="s">
        <x:v>679</x:v>
      </x:c>
      <x:c r="B111" s="41" t="s">
        <x:v>11</x:v>
      </x:c>
      <x:c r="C111" s="50" t="s">
        <x:v>680</x:v>
      </x:c>
      <x:c r="D111" s="50" t="s">
        <x:v>681</x:v>
      </x:c>
      <x:c r="E111" s="50" t="s">
        <x:v>682</x:v>
      </x:c>
      <x:c r="F111" s="50" t="s">
        <x:v>683</x:v>
      </x:c>
      <x:c r="G111" s="50" t="s">
        <x:v>684</x:v>
      </x:c>
      <x:c r="H111" s="50" t="s">
        <x:v>83</x:v>
      </x:c>
      <x:c r="I111" s="50" t="s">
        <x:v>656</x:v>
      </x:c>
      <x:c r="J111" s="50" t="s">
        <x:v>664</x:v>
      </x:c>
      <x:c r="K111" s="51" t="s">
        <x:v>685</x:v>
      </x:c>
    </x:row>
    <x:row r="112" ht="27">
      <x:c r="A112" s="40" t="s">
        <x:v>686</x:v>
      </x:c>
      <x:c r="B112" s="41" t="s">
        <x:v>17</x:v>
      </x:c>
      <x:c r="C112" s="50" t="s">
        <x:v>687</x:v>
      </x:c>
      <x:c r="D112" s="50" t="s">
        <x:v>688</x:v>
      </x:c>
      <x:c r="E112" s="50" t="s">
        <x:v>689</x:v>
      </x:c>
      <x:c r="F112" s="50" t="s">
        <x:v>690</x:v>
      </x:c>
      <x:c r="G112" s="50" t="s">
        <x:v>691</x:v>
      </x:c>
      <x:c r="H112" s="50" t="s">
        <x:v>346</x:v>
      </x:c>
      <x:c r="I112" s="50" t="s">
        <x:v>656</x:v>
      </x:c>
      <x:c r="J112" s="50" t="s">
        <x:v>692</x:v>
      </x:c>
      <x:c r="K112" s="51" t="s">
        <x:v>693</x:v>
      </x:c>
    </x:row>
    <x:row r="113" ht="27">
      <x:c r="A113" s="40" t="s">
        <x:v>694</x:v>
      </x:c>
      <x:c r="B113" s="41" t="s">
        <x:v>16</x:v>
      </x:c>
      <x:c r="C113" s="50" t="s">
        <x:v>695</x:v>
      </x:c>
      <x:c r="D113" s="50" t="s">
        <x:v>696</x:v>
      </x:c>
      <x:c r="E113" s="50" t="s">
        <x:v>697</x:v>
      </x:c>
      <x:c r="F113" s="50" t="s">
        <x:v>698</x:v>
      </x:c>
      <x:c r="G113" s="50" t="s">
        <x:v>699</x:v>
      </x:c>
      <x:c r="H113" s="50" t="s">
        <x:v>65</x:v>
      </x:c>
      <x:c r="I113" s="50" t="s">
        <x:v>656</x:v>
      </x:c>
      <x:c r="J113" s="50" t="s">
        <x:v>700</x:v>
      </x:c>
      <x:c r="K113" s="51" t="s">
        <x:v>701</x:v>
      </x:c>
    </x:row>
    <x:row r="114" ht="27">
      <x:c r="A114" s="40" t="s">
        <x:v>702</x:v>
      </x:c>
      <x:c r="B114" s="41" t="s">
        <x:v>14</x:v>
      </x:c>
      <x:c r="C114" s="50" t="s">
        <x:v>703</x:v>
      </x:c>
      <x:c r="D114" s="50" t="s">
        <x:v>704</x:v>
      </x:c>
      <x:c r="E114" s="50" t="s">
        <x:v>705</x:v>
      </x:c>
      <x:c r="F114" s="50" t="s">
        <x:v>706</x:v>
      </x:c>
      <x:c r="G114" s="50" t="s">
        <x:v>707</x:v>
      </x:c>
      <x:c r="H114" s="50" t="s">
        <x:v>346</x:v>
      </x:c>
      <x:c r="I114" s="50" t="s">
        <x:v>656</x:v>
      </x:c>
      <x:c r="J114" s="50" t="s">
        <x:v>692</x:v>
      </x:c>
      <x:c r="K114" s="51" t="s">
        <x:v>708</x:v>
      </x:c>
    </x:row>
    <x:row r="115" ht="40.5">
      <x:c r="A115" s="40" t="s">
        <x:v>709</x:v>
      </x:c>
      <x:c r="B115" s="41" t="s">
        <x:v>17</x:v>
      </x:c>
      <x:c r="C115" s="50" t="s">
        <x:v>710</x:v>
      </x:c>
      <x:c r="D115" s="50" t="s">
        <x:v>711</x:v>
      </x:c>
      <x:c r="E115" s="50" t="s">
        <x:v>712</x:v>
      </x:c>
      <x:c r="F115" s="50" t="s">
        <x:v>713</x:v>
      </x:c>
      <x:c r="G115" s="50" t="s">
        <x:v>714</x:v>
      </x:c>
      <x:c r="H115" s="50" t="s">
        <x:v>346</x:v>
      </x:c>
      <x:c r="I115" s="50" t="s">
        <x:v>656</x:v>
      </x:c>
      <x:c r="J115" s="50" t="s">
        <x:v>692</x:v>
      </x:c>
      <x:c r="K115" s="51" t="s">
        <x:v>715</x:v>
      </x:c>
    </x:row>
    <x:row r="116" ht="27">
      <x:c r="A116" s="40" t="s">
        <x:v>716</x:v>
      </x:c>
      <x:c r="B116" s="41" t="s">
        <x:v>11</x:v>
      </x:c>
      <x:c r="C116" s="50" t="s">
        <x:v>717</x:v>
      </x:c>
      <x:c r="D116" s="50" t="s">
        <x:v>718</x:v>
      </x:c>
      <x:c r="E116" s="50" t="s">
        <x:v>719</x:v>
      </x:c>
      <x:c r="F116" s="50" t="s">
        <x:v>720</x:v>
      </x:c>
      <x:c r="G116" s="50" t="s">
        <x:v>721</x:v>
      </x:c>
      <x:c r="H116" s="50" t="s">
        <x:v>83</x:v>
      </x:c>
      <x:c r="I116" s="50" t="s">
        <x:v>722</x:v>
      </x:c>
      <x:c r="J116" s="50" t="s">
        <x:v>723</x:v>
      </x:c>
      <x:c r="K116" s="51" t="s">
        <x:v>724</x:v>
      </x:c>
    </x:row>
    <x:row r="117" ht="40.5">
      <x:c r="A117" s="40" t="s">
        <x:v>725</x:v>
      </x:c>
      <x:c r="B117" s="41" t="s">
        <x:v>16</x:v>
      </x:c>
      <x:c r="C117" s="50" t="s">
        <x:v>104</x:v>
      </x:c>
      <x:c r="D117" s="50" t="s">
        <x:v>726</x:v>
      </x:c>
      <x:c r="E117" s="50" t="s">
        <x:v>727</x:v>
      </x:c>
      <x:c r="F117" s="50" t="s">
        <x:v>728</x:v>
      </x:c>
      <x:c r="G117" s="50" t="s">
        <x:v>729</x:v>
      </x:c>
      <x:c r="H117" s="50" t="s">
        <x:v>65</x:v>
      </x:c>
      <x:c r="I117" s="50" t="s">
        <x:v>722</x:v>
      </x:c>
      <x:c r="J117" s="50" t="s">
        <x:v>723</x:v>
      </x:c>
      <x:c r="K117" s="51" t="s">
        <x:v>730</x:v>
      </x:c>
    </x:row>
    <x:row r="118" ht="27">
      <x:c r="A118" s="40" t="s">
        <x:v>731</x:v>
      </x:c>
      <x:c r="B118" s="41" t="s">
        <x:v>11</x:v>
      </x:c>
      <x:c r="C118" s="50" t="s">
        <x:v>60</x:v>
      </x:c>
      <x:c r="D118" s="50" t="s">
        <x:v>732</x:v>
      </x:c>
      <x:c r="E118" s="50" t="s">
        <x:v>733</x:v>
      </x:c>
      <x:c r="F118" s="50" t="s">
        <x:v>734</x:v>
      </x:c>
      <x:c r="G118" s="50" t="s">
        <x:v>735</x:v>
      </x:c>
      <x:c r="H118" s="50" t="s">
        <x:v>83</x:v>
      </x:c>
      <x:c r="I118" s="50" t="s">
        <x:v>722</x:v>
      </x:c>
      <x:c r="J118" s="50" t="s">
        <x:v>736</x:v>
      </x:c>
      <x:c r="K118" s="51" t="s">
        <x:v>737</x:v>
      </x:c>
    </x:row>
    <x:row r="119" ht="40.5">
      <x:c r="A119" s="40" t="s">
        <x:v>738</x:v>
      </x:c>
      <x:c r="B119" s="41" t="s">
        <x:v>11</x:v>
      </x:c>
      <x:c r="C119" s="50" t="s">
        <x:v>739</x:v>
      </x:c>
      <x:c r="D119" s="50" t="s">
        <x:v>740</x:v>
      </x:c>
      <x:c r="E119" s="50" t="s">
        <x:v>741</x:v>
      </x:c>
      <x:c r="F119" s="50" t="s">
        <x:v>742</x:v>
      </x:c>
      <x:c r="G119" s="50" t="s">
        <x:v>743</x:v>
      </x:c>
      <x:c r="H119" s="50" t="s">
        <x:v>83</x:v>
      </x:c>
      <x:c r="I119" s="50" t="s">
        <x:v>722</x:v>
      </x:c>
      <x:c r="J119" s="50" t="s">
        <x:v>744</x:v>
      </x:c>
      <x:c r="K119" s="51" t="s">
        <x:v>685</x:v>
      </x:c>
    </x:row>
    <x:row r="120" ht="54">
      <x:c r="A120" s="40" t="s">
        <x:v>745</x:v>
      </x:c>
      <x:c r="B120" s="41" t="s">
        <x:v>12</x:v>
      </x:c>
      <x:c r="C120" s="50" t="s">
        <x:v>377</x:v>
      </x:c>
      <x:c r="D120" s="50" t="s">
        <x:v>746</x:v>
      </x:c>
      <x:c r="E120" s="50" t="s">
        <x:v>747</x:v>
      </x:c>
      <x:c r="F120" s="50" t="s">
        <x:v>748</x:v>
      </x:c>
      <x:c r="G120" s="50" t="s">
        <x:v>749</x:v>
      </x:c>
      <x:c r="H120" s="50" t="s">
        <x:v>83</x:v>
      </x:c>
      <x:c r="I120" s="50" t="s">
        <x:v>722</x:v>
      </x:c>
      <x:c r="J120" s="50" t="s">
        <x:v>723</x:v>
      </x:c>
      <x:c r="K120" s="51" t="s">
        <x:v>750</x:v>
      </x:c>
    </x:row>
    <x:row r="121" ht="27">
      <x:c r="A121" s="40" t="s">
        <x:v>751</x:v>
      </x:c>
      <x:c r="B121" s="41" t="s">
        <x:v>17</x:v>
      </x:c>
      <x:c r="C121" s="50" t="s">
        <x:v>752</x:v>
      </x:c>
      <x:c r="D121" s="50" t="s">
        <x:v>753</x:v>
      </x:c>
      <x:c r="E121" s="50" t="s">
        <x:v>754</x:v>
      </x:c>
      <x:c r="F121" s="50" t="s">
        <x:v>755</x:v>
      </x:c>
      <x:c r="G121" s="50" t="s">
        <x:v>756</x:v>
      </x:c>
      <x:c r="H121" s="50" t="s">
        <x:v>346</x:v>
      </x:c>
      <x:c r="I121" s="50" t="s">
        <x:v>722</x:v>
      </x:c>
      <x:c r="J121" s="50" t="s">
        <x:v>757</x:v>
      </x:c>
      <x:c r="K121" s="51" t="s">
        <x:v>758</x:v>
      </x:c>
    </x:row>
    <x:row r="122" ht="27">
      <x:c r="A122" s="40" t="s">
        <x:v>759</x:v>
      </x:c>
      <x:c r="B122" s="41" t="s">
        <x:v>14</x:v>
      </x:c>
      <x:c r="C122" s="50" t="s">
        <x:v>760</x:v>
      </x:c>
      <x:c r="D122" s="50" t="s">
        <x:v>761</x:v>
      </x:c>
      <x:c r="E122" s="50" t="s">
        <x:v>762</x:v>
      </x:c>
      <x:c r="F122" s="50" t="s">
        <x:v>763</x:v>
      </x:c>
      <x:c r="G122" s="50" t="s">
        <x:v>764</x:v>
      </x:c>
      <x:c r="H122" s="50" t="s">
        <x:v>346</x:v>
      </x:c>
      <x:c r="I122" s="50" t="s">
        <x:v>722</x:v>
      </x:c>
      <x:c r="J122" s="50" t="s">
        <x:v>757</x:v>
      </x:c>
      <x:c r="K122" s="51" t="s">
        <x:v>765</x:v>
      </x:c>
    </x:row>
    <x:row r="123" ht="40.5">
      <x:c r="A123" s="40" t="s">
        <x:v>766</x:v>
      </x:c>
      <x:c r="B123" s="41" t="s">
        <x:v>17</x:v>
      </x:c>
      <x:c r="C123" s="50" t="s">
        <x:v>767</x:v>
      </x:c>
      <x:c r="D123" s="50" t="s">
        <x:v>768</x:v>
      </x:c>
      <x:c r="E123" s="50" t="s">
        <x:v>769</x:v>
      </x:c>
      <x:c r="F123" s="50" t="s">
        <x:v>770</x:v>
      </x:c>
      <x:c r="G123" s="50" t="s">
        <x:v>771</x:v>
      </x:c>
      <x:c r="H123" s="50" t="s">
        <x:v>346</x:v>
      </x:c>
      <x:c r="I123" s="50" t="s">
        <x:v>722</x:v>
      </x:c>
      <x:c r="J123" s="50" t="s">
        <x:v>757</x:v>
      </x:c>
      <x:c r="K123" s="51" t="s">
        <x:v>772</x:v>
      </x:c>
    </x:row>
    <x:row r="124" ht="27">
      <x:c r="A124" s="40" t="s">
        <x:v>773</x:v>
      </x:c>
      <x:c r="B124" s="41" t="s">
        <x:v>11</x:v>
      </x:c>
      <x:c r="C124" s="50" t="s">
        <x:v>35</x:v>
      </x:c>
      <x:c r="D124" s="50" t="s">
        <x:v>774</x:v>
      </x:c>
      <x:c r="E124" s="50" t="s">
        <x:v>775</x:v>
      </x:c>
      <x:c r="F124" s="50" t="s">
        <x:v>776</x:v>
      </x:c>
      <x:c r="G124" s="50" t="s">
        <x:v>777</x:v>
      </x:c>
      <x:c r="H124" s="50" t="s">
        <x:v>40</x:v>
      </x:c>
      <x:c r="I124" s="50" t="s">
        <x:v>778</x:v>
      </x:c>
      <x:c r="J124" s="50" t="s">
        <x:v>779</x:v>
      </x:c>
      <x:c r="K124" s="51" t="s">
        <x:v>780</x:v>
      </x:c>
    </x:row>
    <x:row r="125" ht="40.5">
      <x:c r="A125" s="40" t="s">
        <x:v>781</x:v>
      </x:c>
      <x:c r="B125" s="41" t="s">
        <x:v>11</x:v>
      </x:c>
      <x:c r="C125" s="50" t="s">
        <x:v>35</x:v>
      </x:c>
      <x:c r="D125" s="50" t="s">
        <x:v>782</x:v>
      </x:c>
      <x:c r="E125" s="50" t="s">
        <x:v>783</x:v>
      </x:c>
      <x:c r="F125" s="50" t="s">
        <x:v>784</x:v>
      </x:c>
      <x:c r="G125" s="50" t="s">
        <x:v>785</x:v>
      </x:c>
      <x:c r="H125" s="50" t="s">
        <x:v>83</x:v>
      </x:c>
      <x:c r="I125" s="50" t="s">
        <x:v>778</x:v>
      </x:c>
      <x:c r="J125" s="50" t="s">
        <x:v>786</x:v>
      </x:c>
      <x:c r="K125" s="51" t="s">
        <x:v>787</x:v>
      </x:c>
    </x:row>
    <x:row r="126" ht="40.5">
      <x:c r="A126" s="40" t="s">
        <x:v>788</x:v>
      </x:c>
      <x:c r="B126" s="41" t="s">
        <x:v>11</x:v>
      </x:c>
      <x:c r="C126" s="50" t="s">
        <x:v>789</x:v>
      </x:c>
      <x:c r="D126" s="50" t="s">
        <x:v>790</x:v>
      </x:c>
      <x:c r="E126" s="50" t="s">
        <x:v>791</x:v>
      </x:c>
      <x:c r="F126" s="50" t="s">
        <x:v>792</x:v>
      </x:c>
      <x:c r="G126" s="50" t="s">
        <x:v>793</x:v>
      </x:c>
      <x:c r="H126" s="50" t="s">
        <x:v>83</x:v>
      </x:c>
      <x:c r="I126" s="50" t="s">
        <x:v>778</x:v>
      </x:c>
      <x:c r="J126" s="50" t="s">
        <x:v>794</x:v>
      </x:c>
      <x:c r="K126" s="51" t="s">
        <x:v>795</x:v>
      </x:c>
    </x:row>
    <x:row r="127" ht="40.5">
      <x:c r="A127" s="40" t="s">
        <x:v>796</x:v>
      </x:c>
      <x:c r="B127" s="41" t="s">
        <x:v>11</x:v>
      </x:c>
      <x:c r="C127" s="50" t="s">
        <x:v>797</x:v>
      </x:c>
      <x:c r="D127" s="50" t="s">
        <x:v>798</x:v>
      </x:c>
      <x:c r="E127" s="50" t="s">
        <x:v>799</x:v>
      </x:c>
      <x:c r="F127" s="50" t="s">
        <x:v>800</x:v>
      </x:c>
      <x:c r="G127" s="50" t="s">
        <x:v>801</x:v>
      </x:c>
      <x:c r="H127" s="50" t="s">
        <x:v>65</x:v>
      </x:c>
      <x:c r="I127" s="50" t="s">
        <x:v>778</x:v>
      </x:c>
      <x:c r="J127" s="50" t="s">
        <x:v>802</x:v>
      </x:c>
      <x:c r="K127" s="51" t="s">
        <x:v>803</x:v>
      </x:c>
    </x:row>
    <x:row r="128" ht="27">
      <x:c r="A128" s="40" t="s">
        <x:v>804</x:v>
      </x:c>
      <x:c r="B128" s="41" t="s">
        <x:v>11</x:v>
      </x:c>
      <x:c r="C128" s="50" t="s">
        <x:v>805</x:v>
      </x:c>
      <x:c r="D128" s="50" t="s">
        <x:v>806</x:v>
      </x:c>
      <x:c r="E128" s="50" t="s">
        <x:v>807</x:v>
      </x:c>
      <x:c r="F128" s="50" t="s">
        <x:v>808</x:v>
      </x:c>
      <x:c r="G128" s="50" t="s">
        <x:v>809</x:v>
      </x:c>
      <x:c r="H128" s="50" t="s">
        <x:v>40</x:v>
      </x:c>
      <x:c r="I128" s="50" t="s">
        <x:v>778</x:v>
      </x:c>
      <x:c r="J128" s="50" t="s">
        <x:v>810</x:v>
      </x:c>
      <x:c r="K128" s="51" t="s">
        <x:v>811</x:v>
      </x:c>
    </x:row>
    <x:row r="129" ht="40.5">
      <x:c r="A129" s="40" t="s">
        <x:v>812</x:v>
      </x:c>
      <x:c r="B129" s="41" t="s">
        <x:v>12</x:v>
      </x:c>
      <x:c r="C129" s="50" t="s">
        <x:v>813</x:v>
      </x:c>
      <x:c r="D129" s="50" t="s">
        <x:v>814</x:v>
      </x:c>
      <x:c r="E129" s="50" t="s">
        <x:v>815</x:v>
      </x:c>
      <x:c r="F129" s="50" t="s">
        <x:v>816</x:v>
      </x:c>
      <x:c r="G129" s="50" t="s">
        <x:v>817</x:v>
      </x:c>
      <x:c r="H129" s="50" t="s">
        <x:v>40</x:v>
      </x:c>
      <x:c r="I129" s="50" t="s">
        <x:v>778</x:v>
      </x:c>
      <x:c r="J129" s="50" t="s">
        <x:v>818</x:v>
      </x:c>
      <x:c r="K129" s="51" t="s">
        <x:v>819</x:v>
      </x:c>
    </x:row>
    <x:row r="130" ht="40.5">
      <x:c r="A130" s="40" t="s">
        <x:v>820</x:v>
      </x:c>
      <x:c r="B130" s="41" t="s">
        <x:v>13</x:v>
      </x:c>
      <x:c r="C130" s="50" t="s">
        <x:v>821</x:v>
      </x:c>
      <x:c r="D130" s="50" t="s">
        <x:v>822</x:v>
      </x:c>
      <x:c r="E130" s="50" t="s">
        <x:v>823</x:v>
      </x:c>
      <x:c r="F130" s="50" t="s">
        <x:v>824</x:v>
      </x:c>
      <x:c r="G130" s="50" t="s">
        <x:v>825</x:v>
      </x:c>
      <x:c r="H130" s="50" t="s">
        <x:v>83</x:v>
      </x:c>
      <x:c r="I130" s="50" t="s">
        <x:v>778</x:v>
      </x:c>
      <x:c r="J130" s="50" t="s">
        <x:v>826</x:v>
      </x:c>
      <x:c r="K130" s="51" t="s">
        <x:v>827</x:v>
      </x:c>
    </x:row>
    <x:row r="131" ht="40.5">
      <x:c r="A131" s="40" t="s">
        <x:v>828</x:v>
      </x:c>
      <x:c r="B131" s="41" t="s">
        <x:v>17</x:v>
      </x:c>
      <x:c r="C131" s="50" t="s">
        <x:v>829</x:v>
      </x:c>
      <x:c r="D131" s="50" t="s">
        <x:v>830</x:v>
      </x:c>
      <x:c r="E131" s="50" t="s">
        <x:v>831</x:v>
      </x:c>
      <x:c r="F131" s="50" t="s">
        <x:v>832</x:v>
      </x:c>
      <x:c r="G131" s="50" t="s">
        <x:v>833</x:v>
      </x:c>
      <x:c r="H131" s="50" t="s">
        <x:v>346</x:v>
      </x:c>
      <x:c r="I131" s="50" t="s">
        <x:v>778</x:v>
      </x:c>
      <x:c r="J131" s="50" t="s">
        <x:v>834</x:v>
      </x:c>
      <x:c r="K131" s="51" t="s">
        <x:v>835</x:v>
      </x:c>
    </x:row>
    <x:row r="132" ht="27">
      <x:c r="A132" s="40" t="s">
        <x:v>836</x:v>
      </x:c>
      <x:c r="B132" s="41" t="s">
        <x:v>14</x:v>
      </x:c>
      <x:c r="C132" s="50" t="s">
        <x:v>837</x:v>
      </x:c>
      <x:c r="D132" s="50" t="s">
        <x:v>838</x:v>
      </x:c>
      <x:c r="E132" s="50" t="s">
        <x:v>839</x:v>
      </x:c>
      <x:c r="F132" s="50" t="s">
        <x:v>840</x:v>
      </x:c>
      <x:c r="G132" s="50" t="s">
        <x:v>841</x:v>
      </x:c>
      <x:c r="H132" s="50" t="s">
        <x:v>346</x:v>
      </x:c>
      <x:c r="I132" s="50" t="s">
        <x:v>778</x:v>
      </x:c>
      <x:c r="J132" s="50" t="s">
        <x:v>842</x:v>
      </x:c>
      <x:c r="K132" s="51" t="s">
        <x:v>843</x:v>
      </x:c>
    </x:row>
    <x:row r="133" ht="40.5" customHeight="1">
      <x:c r="A133" s="40" t="s">
        <x:v>844</x:v>
      </x:c>
      <x:c r="B133" s="41" t="s">
        <x:v>17</x:v>
      </x:c>
      <x:c r="C133" s="50" t="s">
        <x:v>845</x:v>
      </x:c>
      <x:c r="D133" s="50" t="s">
        <x:v>846</x:v>
      </x:c>
      <x:c r="E133" s="50" t="s">
        <x:v>847</x:v>
      </x:c>
      <x:c r="F133" s="50" t="s">
        <x:v>848</x:v>
      </x:c>
      <x:c r="G133" s="50" t="s">
        <x:v>849</x:v>
      </x:c>
      <x:c r="H133" s="50" t="s">
        <x:v>346</x:v>
      </x:c>
      <x:c r="I133" s="50" t="s">
        <x:v>778</x:v>
      </x:c>
      <x:c r="J133" s="50" t="s">
        <x:v>850</x:v>
      </x:c>
      <x:c r="K133" s="51" t="s">
        <x:v>851</x:v>
      </x:c>
    </x:row>
    <x:row r="134" ht="40.5" customHeight="1">
      <x:c r="A134" s="40" t="s">
        <x:v>852</x:v>
      </x:c>
      <x:c r="B134" s="41" t="s">
        <x:v>11</x:v>
      </x:c>
      <x:c r="C134" s="50" t="s">
        <x:v>853</x:v>
      </x:c>
      <x:c r="D134" s="50" t="s">
        <x:v>854</x:v>
      </x:c>
      <x:c r="E134" s="50" t="s">
        <x:v>855</x:v>
      </x:c>
      <x:c r="F134" s="50" t="s">
        <x:v>856</x:v>
      </x:c>
      <x:c r="G134" s="50" t="s">
        <x:v>857</x:v>
      </x:c>
      <x:c r="H134" s="50" t="s">
        <x:v>40</x:v>
      </x:c>
      <x:c r="I134" s="50" t="s">
        <x:v>778</x:v>
      </x:c>
      <x:c r="J134" s="50" t="s">
        <x:v>858</x:v>
      </x:c>
      <x:c r="K134" s="51" t="s">
        <x:v>859</x:v>
      </x:c>
    </x:row>
    <x:row r="135">
      <x:c r="A135" t="str">
        <x:v>P8-01</x:v>
      </x:c>
      <x:c r="B135" t="str">
        <x:v>Fabric / Chaincode</x:v>
      </x:c>
      <x:c r="C135" t="str">
        <x:v>fabric-samples/dental-record-sharing/chaincode-javascript/lib/dentalRecordSharing.js</x:v>
      </x:c>
      <x:c r="D135" t="str">
        <x:v>RequestDataAccess; ApproveRequest; ProvideConsent; RejectRequest; RevokeConsent; LogClinicalAccess; notification helpers</x:v>
      </x:c>
      <x:c r="E135" t="str">
        <x:v>Consent requests had incomplete metadata, no ledger notification records, no revocation path, and limited audit context.</x:v>
      </x:c>
      <x:c r="F135" t="str">
        <x:v>Added enriched request metadata, admin/patient/doctor notifications, consent actor/MSP/tx evidence, patient revocation, sharing cleanup, and access-basis/request audit context.</x:v>
      </x:c>
      <x:c r="G135" t="str">
        <x:v>Completes the ledger-side Doctor -&gt; Admin -&gt; Patient consent workflow and makes consent decisions/revocations auditable.</x:v>
      </x:c>
      <x:c r="H135" t="str">
        <x:v>SRS Gap Development</x:v>
      </x:c>
      <x:c r="I135" t="str">
        <x:v>Phase 8 - Consent, Sharing, Notifications, And Audit</x:v>
      </x:c>
      <x:c r="J135" t="str">
        <x:v>FR-21; FR-22; FR-23; FR-24; FR-25; FR-26; FR-27; FR-28; SEC-08; GDPR audit</x:v>
      </x:c>
      <x:c r="K135" t="str">
        <x:v>Required consent, notification, revocation, and audit controls were partial or absent.</x:v>
      </x:c>
    </x:row>
    <x:row r="136">
      <x:c r="A136" t="str">
        <x:v>P8-02</x:v>
      </x:c>
      <x:c r="B136" t="str">
        <x:v>Code</x:v>
      </x:c>
      <x:c r="C136" t="str">
        <x:v>dental-backend/index.js</x:v>
      </x:c>
      <x:c r="D136" t="str">
        <x:v>requestAccessHandler; /requestDataAccess; /requestAccess; /audit/clinical-access/:patientID; /revokeConsent; /notifications</x:v>
      </x:c>
      <x:c r="E136" t="str">
        <x:v>Blockchain API request routes did not submit rich request metadata, and there were no authenticated notification read/update or consent revocation routes.</x:v>
      </x:c>
      <x:c r="F136" t="str">
        <x:v>Added enriched request submission, admin/patient audit retrieval, patient owner-bound revoke consent, notification listing, and mark-read APIs.</x:v>
      </x:c>
      <x:c r="G136" t="str">
        <x:v>Exposes the Phase 8 chaincode workflow through authenticated API routes while preserving doctor/admin/patient ownership checks.</x:v>
      </x:c>
      <x:c r="H136" t="str">
        <x:v>SRS Gap Development</x:v>
      </x:c>
      <x:c r="I136" t="str">
        <x:v>Phase 8 - Consent, Sharing, Notifications, And Audit</x:v>
      </x:c>
      <x:c r="J136" t="str">
        <x:v>FR-21 to FR-28; SEC-08; GDPR audit</x:v>
      </x:c>
      <x:c r="K136" t="str">
        <x:v>Required API surface for notifications, revocation, and audit retrieval was absent.</x:v>
      </x:c>
    </x:row>
    <x:row r="137">
      <x:c r="A137" t="str">
        <x:v>P8-03</x:v>
      </x:c>
      <x:c r="B137" t="str">
        <x:v>Code</x:v>
      </x:c>
      <x:c r="C137" t="str">
        <x:v>bc-dentistry-frontend/src/assets/Pages/DataRequests.jsx; Sections/DataRequests/*; components/Patients/RequestPatientCard.jsx; components/Notifications.jsx</x:v>
      </x:c>
      <x:c r="D137" t="str">
        <x:v>doctor request form; admin data request queue; notification badge/read status; audit panel; consent status colors</x:v>
      </x:c>
      <x:c r="E137" t="str">
        <x:v>Web request creation lacked data type/purpose fields, the admin queue did not provide the complete approve/reject workflow, notifications were static, and there was no audit lookup UI.</x:v>
      </x:c>
      <x:c r="F137" t="str">
        <x:v>Added request purpose/data type fields, admin approve/reject handling, live notification count/read behavior, consent status colors, and admin/patient clinical audit lookup.</x:v>
      </x:c>
      <x:c r="G137" t="str">
        <x:v>Makes the Phase 8 web workflow usable for doctor request creation, holding-clinic admin decisions, and audit review.</x:v>
      </x:c>
      <x:c r="H137" t="str">
        <x:v>SRS Gap Development</x:v>
      </x:c>
      <x:c r="I137" t="str">
        <x:v>Phase 8 - Consent, Sharing, Notifications, And Audit</x:v>
      </x:c>
      <x:c r="J137" t="str">
        <x:v>FR-21; FR-22; FR-26; FR-28; Section 6.5 usability</x:v>
      </x:c>
      <x:c r="K137" t="str">
        <x:v>Required web workflow and usability states were absent or static.</x:v>
      </x:c>
    </x:row>
    <x:row r="138">
      <x:c r="A138" t="str">
        <x:v>P8-04</x:v>
      </x:c>
      <x:c r="B138" t="str">
        <x:v>Code</x:v>
      </x:c>
      <x:c r="C138" t="str">
        <x:v>BC-Dentistry-Mobile-App/app/(tabs)/requests.jsx; app/proceedRequests.jsx; app/rejectedRequests.jsx; components/AccesptReject.jsx</x:v>
      </x:c>
      <x:c r="D138" t="str">
        <x:v>patient mobile request detail, consent status, reject status, and revoke flow</x:v>
      </x:c>
      <x:c r="E138" t="str">
        <x:v>Mobile patient request screens used limited/static request details, inconsistent rejection status text, and had no revocation action.</x:v>
      </x:c>
      <x:c r="F138" t="str">
        <x:v>Rendered canonical request data, purpose/reason and timestamps, normalized rejected status handling, and added patient revoke consent from the granted-request view.</x:v>
      </x:c>
      <x:c r="G138" t="str">
        <x:v>Completes the patient-facing mobile portion of request detail, consent decision, processed/rejected status, and revocation visibility.</x:v>
      </x:c>
      <x:c r="H138" t="str">
        <x:v>SRS Gap Development</x:v>
      </x:c>
      <x:c r="I138" t="str">
        <x:v>Phase 8 - Consent, Sharing, Notifications, And Audit</x:v>
      </x:c>
      <x:c r="J138" t="str">
        <x:v>FR-23; FR-24; FR-27; SEC-08</x:v>
      </x:c>
      <x:c r="K138" t="str">
        <x:v>Required authenticated patient workflow detail and revocation were absent.</x:v>
      </x:c>
    </x:row>
    <x:row r="139">
      <x:c r="A139" t="str">
        <x:v>P8-05</x:v>
      </x:c>
      <x:c r="B139" t="str">
        <x:v>Tests / Deployment</x:v>
      </x:c>
      <x:c r="C139" t="str">
        <x:v>dental-backend/test/phase8ConsentNotificationsAudit.test.js; local verification</x:v>
      </x:c>
      <x:c r="D139" t="str">
        <x:v>Phase 8 source regression and build evidence</x:v>
      </x:c>
      <x:c r="E139" t="str">
        <x:v>No focused regression protected enriched request metadata, notification APIs, audit APIs, mobile request details, or revocation.</x:v>
      </x:c>
      <x:c r="F139" t="str">
        <x:v>Added Phase 8 source checks and verified API syntax, chaincode syntax, backend/API 28/28 tests, frontend 5/5 tests, frontend ESLint, and Vite production build.</x:v>
      </x:c>
      <x:c r="G139" t="str">
        <x:v>Provides repeatable source-level evidence before AWS deployment.</x:v>
      </x:c>
      <x:c r="H139" t="str">
        <x:v>Supporting Evidence / Deployment</x:v>
      </x:c>
      <x:c r="I139" t="str">
        <x:v>Phase 8 - Consent, Sharing, Notifications, And Audit</x:v>
      </x:c>
      <x:c r="J139" t="str">
        <x:v>FR-21 to FR-28; SEC-08; GDPR audit; SRS Section 8</x:v>
      </x:c>
      <x:c r="K139" t="str">
        <x:v>Source verification evidence was absent; AWS deployment and runtime smoke remain separate.</x:v>
      </x:c>
    </x:row>
    <x:row r="140">
      <x:c r="A140" t="str">
        <x:v>P8-06</x:v>
      </x:c>
      <x:c r="B140" t="str">
        <x:v>Documentation</x:v>
      </x:c>
      <x:c r="C140" t="str">
        <x:v>Outputs/SRS_Compliance_Base roadmap, checklist, traceability matrix, startup context, README; Outputs/EDR_Remediation_Change_Log.md</x:v>
      </x:c>
      <x:c r="D140" t="str">
        <x:v>Phase 8 source completion and deployment boundary</x:v>
      </x:c>
      <x:c r="E140" t="str">
        <x:v>Baseline documents still described consent, notifications, revocation, and audit as incomplete without reflecting the implemented source state.</x:v>
      </x:c>
      <x:c r="F140" t="str">
        <x:v>Updated Phase 8 roadmap, acceptance checklist, traceability, startup context, README summary, and remediation log with implemented source evidence and pending AWS rollout boundary.</x:v>
      </x:c>
      <x:c r="G140" t="str">
        <x:v>Keeps future threads aligned to the implemented Phase 8 state without storing planned-only items as fixes.</x:v>
      </x:c>
      <x:c r="H140" t="str">
        <x:v>Supporting Evidence / Deployment</x:v>
      </x:c>
      <x:c r="I140" t="str">
        <x:v>Phase 8 - Consent, Sharing, Notifications, And Audit</x:v>
      </x:c>
      <x:c r="J140" t="str">
        <x:v>FR-21 to FR-28; SEC-08; GDPR audit; SRS Section 8</x:v>
      </x:c>
      <x:c r="K140" t="str">
        <x:v>Required traceability and handoff evidence.</x:v>
      </x:c>
    </x:row>
    <x:row r="141">
      <x:c r="A141" t="str">
        <x:v>P8-07</x:v>
      </x:c>
      <x:c r="B141" t="str">
        <x:v>Fabric / Chaincode</x:v>
      </x:c>
      <x:c r="C141" t="str">
        <x:v>fabric-samples/dental-record-sharing/chaincode-javascript/lib/dentalRecordSharing.js; dental-backend/test/phase8ConsentNotificationsAudit.test.js</x:v>
      </x:c>
      <x:c r="D141" t="str">
        <x:v>Fabric JavaScript transaction metadata arity for Phase 8 transactions</x:v>
      </x:c>
      <x:c r="E141" t="str">
        <x:v>The first Phase 8 AWS smoke hit Fabric metadata validation because default parameters in transaction signatures caused RequestDataAccess to be advertised with the old arity.</x:v>
      </x:c>
      <x:c r="F141" t="str">
        <x:v>Removed default parameter syntax from RequestDataAccess, RevokeConsent, and GetNotificationsForActor signatures, applied defaults inside function bodies, and added regression assertions for explicit transaction arity.</x:v>
      </x:c>
      <x:c r="G141" t="str">
        <x:v>Ensures deployed Fabric contract metadata accepts the enriched Phase 8 request, revocation, and notification API payloads.</x:v>
      </x:c>
      <x:c r="H141" t="str">
        <x:v>Bug Fix</x:v>
      </x:c>
      <x:c r="I141" t="str">
        <x:v>Phase 8 - Consent, Sharing, Notifications, And Audit</x:v>
      </x:c>
      <x:c r="J141" t="str">
        <x:v>FR-21; FR-24; FR-25; FR-26; FR-28; SEC-08</x:v>
      </x:c>
      <x:c r="K141" t="str">
        <x:v>Initial AWS `basic` 1.0.8 sequence 10 was superseded by final `basic` 1.0.9 sequence 11 after this fix.</x:v>
      </x:c>
    </x:row>
    <x:row r="142">
      <x:c r="A142" t="str">
        <x:v>P8-08</x:v>
      </x:c>
      <x:c r="B142" t="str">
        <x:v>Tests / Deployment</x:v>
      </x:c>
      <x:c r="C142" t="str">
        <x:v>AWS /home/ubuntu/EDR; /var/www/edr; PM2 edr-blockchain-api; Nginx; Fabric test network</x:v>
      </x:c>
      <x:c r="D142" t="str">
        <x:v>Phase 8 AWS deployment and end-to-end consent/audit smoke</x:v>
      </x:c>
      <x:c r="E142" t="str">
        <x:v>Phase 8 source work had not yet been deployed or exercised against the live AWS Fabric/API/frontend topology.</x:v>
      </x:c>
      <x:c r="F142" t="str">
        <x:v>Backed up the VM, deployed the Phase 8 payload, upgraded Fabric to final `basic` 1.0.9 sequence 11, restarted the Blockchain API, rebuilt/copied the frontend to Nginx, and passed the authenticated consent/audit smoke.</x:v>
      </x:c>
      <x:c r="G142" t="str">
        <x:v>Closes the runtime gate for Doctor -&gt; Admin -&gt; Patient consent, consent-based access, immutable audit retrieval, revocation, and denial after revocation.</x:v>
      </x:c>
      <x:c r="H142" t="str">
        <x:v>Supporting Evidence / Deployment</x:v>
      </x:c>
      <x:c r="I142" t="str">
        <x:v>Phase 8 - Consent, Sharing, Notifications, And Audit</x:v>
      </x:c>
      <x:c r="J142" t="str">
        <x:v>FR-21 to FR-28; SEC-08; GDPR audit; SRS Section 8</x:v>
      </x:c>
      <x:c r="K142" t="str">
        <x:v>Backup `/home/ubuntu/deployment-backups/20260714-064709-phase8-predeploy`; final smoke marker `PHASE8_CONSENT_AUDIT_SMOKE_OK`.</x:v>
      </x:c>
    </x:row>
    <x:row r="143">
      <x:c r="A143" t="str">
        <x:v>P8-09</x:v>
      </x:c>
      <x:c r="B143" t="str">
        <x:v>Documentation</x:v>
      </x:c>
      <x:c r="C143" t="str">
        <x:v>Outputs/SRS_Compliance_Base roadmap, checklist, traceability matrix, startup context, README; Outputs/EDR_Remediation_Change_Log.md; Outputs/EDR_fixes.xlsx</x:v>
      </x:c>
      <x:c r="D143" t="str">
        <x:v>Phase 8 deployment closeout and migration tracking</x:v>
      </x:c>
      <x:c r="E143" t="str">
        <x:v>The baseline documents and workbook still described Phase 8 as source-complete with AWS deployment pending.</x:v>
      </x:c>
      <x:c r="F143" t="str">
        <x:v>Updated the compliance baseline, acceptance checklist, traceability matrix, remediation changelog, and workbook to record the AWS deployment, final chaincode lifecycle state, no-MySQL-migration decision, and smoke evidence.</x:v>
      </x:c>
      <x:c r="G143" t="str">
        <x:v>Gives future threads a deployed Phase 8 starting point and keeps planning details in markdown while completed fixes stay in the workbook.</x:v>
      </x:c>
      <x:c r="H143" t="str">
        <x:v>Supporting Evidence / Deployment</x:v>
      </x:c>
      <x:c r="I143" t="str">
        <x:v>Phase 8 - Consent, Sharing, Notifications, And Audit</x:v>
      </x:c>
      <x:c r="J143" t="str">
        <x:v>FR-21 to FR-28; SEC-08; GDPR audit; SRS Section 8</x:v>
      </x:c>
      <x:c r="K143" t="str">
        <x:v>Completed deployment closeout only; no planned-only items were added to the workbook.</x:v>
      </x:c>
    </x:row>
  </x:sheetData>
  <x:conditionalFormatting sqref="B2:B134">
    <x:cfRule type="beginsWith" dxfId="7" priority="1" operator="beginsWith" text="Code">
      <x:formula>LEFT(B2,LEN("Code"))="Code"</x:formula>
    </x:cfRule>
    <x:cfRule type="containsText" dxfId="6" priority="2" operator="containsText" text="Configuration">
      <x:formula>NOT(ISERROR(SEARCH("Configuration",B2)))</x:formula>
    </x:cfRule>
    <x:cfRule type="containsText" dxfId="5" priority="3" operator="containsText" text="Fabric / Docker">
      <x:formula>NOT(ISERROR(SEARCH("Fabric / Docker",B2)))</x:formula>
    </x:cfRule>
    <x:cfRule type="containsText" dxfId="4" priority="4" operator="containsText" text="Documentation">
      <x:formula>NOT(ISERROR(SEARCH("Documentation",B2)))</x:formula>
    </x:cfRule>
    <x:cfRule type="containsText" dxfId="3" priority="5" operator="containsText" text="Fabric Identity">
      <x:formula>NOT(ISERROR(SEARCH("Fabric Identity",B2)))</x:formula>
    </x:cfRule>
    <x:cfRule type="containsText" dxfId="2" priority="6" operator="containsText" text="Fabric / Chaincode">
      <x:formula>NOT(ISERROR(SEARCH("Fabric / Chaincode",B2)))</x:formula>
    </x:cfRule>
    <x:cfRule type="containsText" dxfId="1" priority="7" operator="containsText" text="Tests / Deployment">
      <x:formula>NOT(ISERROR(SEARCH("Tests / Deployment",B2)))</x:formula>
    </x:cfRule>
    <x:cfRule type="containsText" dxfId="0"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0fd2db29390d42cf"/>
  </x:tableParts>
</x:worksheet>
</file>

<file path=xl/worksheets/sheet3.xml><?xml version="1.0" encoding="utf-8"?>
<x:worksheet xmlns:x="http://schemas.openxmlformats.org/spreadsheetml/2006/main">
  <x:sheetFormatPr defaultRowHeight="15"/>
  <x:cols>
    <x:col min="1" max="1" width="10.42578125" style="6" customWidth="1"/>
    <x:col min="2" max="2" width="46" style="3" customWidth="1"/>
    <x:col min="3" max="3" width="29.85546875" style="3" customWidth="1"/>
    <x:col min="4" max="4" width="77.7109375" style="3" customWidth="1"/>
    <x:col min="5" max="5" width="142.85546875" style="3" customWidth="1"/>
    <x:col min="6" max="16384" width="9.140625" style="3" customWidth="0"/>
  </x:cols>
  <x:sheetData>
    <x:row r="1" s="8" customFormat="1">
      <x:c r="A1" s="7" t="s">
        <x:v>24</x:v>
      </x:c>
      <x:c r="B1" s="7" t="s">
        <x:v>860</x:v>
      </x:c>
      <x:c r="C1" s="7" t="s">
        <x:v>861</x:v>
      </x:c>
      <x:c r="D1" s="7" t="s">
        <x:v>862</x:v>
      </x:c>
      <x:c r="E1" s="7" t="s">
        <x:v>863</x:v>
      </x:c>
    </x:row>
    <x:row r="2">
      <x:c r="A2" s="5" t="s">
        <x:v>864</x:v>
      </x:c>
      <x:c r="B2" s="4" t="s">
        <x:v>865</x:v>
      </x:c>
      <x:c r="C2" s="4" t="s">
        <x:v>866</x:v>
      </x:c>
      <x:c r="D2" s="4" t="s">
        <x:v>867</x:v>
      </x:c>
      <x:c r="E2" s="4" t="s">
        <x:v>868</x:v>
      </x:c>
    </x:row>
    <x:row r="3">
      <x:c r="A3" s="5" t="s">
        <x:v>869</x:v>
      </x:c>
      <x:c r="B3" s="4" t="s">
        <x:v>870</x:v>
      </x:c>
      <x:c r="C3" s="4" t="s">
        <x:v>871</x:v>
      </x:c>
      <x:c r="D3" s="4" t="s">
        <x:v>872</x:v>
      </x:c>
      <x:c r="E3" s="4" t="s">
        <x:v>873</x:v>
      </x:c>
    </x:row>
    <x:row r="4">
      <x:c r="A4" s="5" t="s">
        <x:v>874</x:v>
      </x:c>
      <x:c r="B4" s="4" t="s">
        <x:v>875</x:v>
      </x:c>
      <x:c r="C4" s="4" t="s">
        <x:v>876</x:v>
      </x:c>
      <x:c r="D4" s="4" t="s">
        <x:v>877</x:v>
      </x:c>
      <x:c r="E4" s="4" t="s">
        <x:v>878</x:v>
      </x:c>
    </x:row>
    <x:row r="5">
      <x:c r="A5" s="5" t="s">
        <x:v>879</x:v>
      </x:c>
      <x:c r="B5" s="4" t="s">
        <x:v>880</x:v>
      </x:c>
      <x:c r="C5" s="4" t="s">
        <x:v>881</x:v>
      </x:c>
      <x:c r="D5" s="4" t="s">
        <x:v>882</x:v>
      </x:c>
      <x:c r="E5" s="4" t="s">
        <x:v>883</x:v>
      </x:c>
    </x:row>
    <x:row r="6">
      <x:c r="A6" s="5" t="s">
        <x:v>884</x:v>
      </x:c>
      <x:c r="B6" s="4" t="s">
        <x:v>885</x:v>
      </x:c>
      <x:c r="C6" s="4" t="s">
        <x:v>886</x:v>
      </x:c>
      <x:c r="D6" s="4" t="s">
        <x:v>887</x:v>
      </x:c>
      <x:c r="E6" s="4" t="s">
        <x:v>888</x:v>
      </x:c>
    </x:row>
    <x:row r="7" ht="27">
      <x:c r="A7" s="5" t="s">
        <x:v>889</x:v>
      </x:c>
      <x:c r="B7" s="4" t="s">
        <x:v>890</x:v>
      </x:c>
      <x:c r="C7" s="4" t="s">
        <x:v>891</x:v>
      </x:c>
      <x:c r="D7" s="4" t="s">
        <x:v>892</x:v>
      </x:c>
      <x:c r="E7" s="4" t="s">
        <x:v>893</x:v>
      </x:c>
    </x:row>
    <x:row r="8">
      <x:c r="A8" s="5" t="s">
        <x:v>894</x:v>
      </x:c>
      <x:c r="B8" s="4" t="s">
        <x:v>895</x:v>
      </x:c>
      <x:c r="C8" s="4" t="s">
        <x:v>896</x:v>
      </x:c>
      <x:c r="D8" s="4" t="s">
        <x:v>897</x:v>
      </x:c>
      <x:c r="E8" s="4" t="s">
        <x:v>898</x:v>
      </x:c>
    </x:row>
    <x:row r="9">
      <x:c r="A9" s="5" t="s">
        <x:v>899</x:v>
      </x:c>
      <x:c r="B9" s="4" t="s">
        <x:v>900</x:v>
      </x:c>
      <x:c r="C9" s="4" t="s">
        <x:v>901</x:v>
      </x:c>
      <x:c r="D9" s="4" t="s">
        <x:v>902</x:v>
      </x:c>
      <x:c r="E9" s="4" t="s">
        <x:v>903</x:v>
      </x:c>
    </x:row>
    <x:row r="10" ht="27">
      <x:c r="A10" s="5" t="s">
        <x:v>904</x:v>
      </x:c>
      <x:c r="B10" s="4" t="s">
        <x:v>905</x:v>
      </x:c>
      <x:c r="C10" s="4" t="s">
        <x:v>906</x:v>
      </x:c>
      <x:c r="D10" s="4" t="s">
        <x:v>907</x:v>
      </x:c>
      <x:c r="E10" s="4" t="s">
        <x:v>908</x:v>
      </x:c>
    </x:row>
  </x:sheetData>
  <x:pageMargins left="0.7" right="0.7" top="0.75" bottom="0.75" header="0.3" footer="0.3"/>
  <x:tableParts count="1">
    <x:tablePart xmlns:r="http://schemas.openxmlformats.org/officeDocument/2006/relationships" r:id="Ra52b57b8002d41a6"/>
  </x:tableParts>
</x:worksheet>
</file>

<file path=xl/worksheets/sheet4.xml><?xml version="1.0" encoding="utf-8"?>
<x:worksheet xmlns:x="http://schemas.openxmlformats.org/spreadsheetml/2006/main">
  <x:sheetFormatPr defaultRowHeight="15"/>
  <x:cols>
    <x:col min="1" max="1" width="56.5703125" style="3" customWidth="1"/>
    <x:col min="2" max="2" width="142.85546875" style="3" customWidth="1"/>
    <x:col min="3" max="3" width="21.85546875" style="3" customWidth="1"/>
    <x:col min="4" max="16384" width="9.140625" style="3" customWidth="0"/>
  </x:cols>
  <x:sheetData>
    <x:row r="1">
      <x:c r="A1" s="27" t="s">
        <x:v>909</x:v>
      </x:c>
      <x:c r="B1" s="28" t="s">
        <x:v>910</x:v>
      </x:c>
      <x:c r="C1" s="29" t="s">
        <x:v>911</x:v>
      </x:c>
    </x:row>
    <x:row r="2">
      <x:c r="A2" s="30" t="s">
        <x:v>912</x:v>
      </x:c>
      <x:c r="B2" s="31" t="s">
        <x:v>913</x:v>
      </x:c>
      <x:c r="C2" s="32" t="s">
        <x:v>914</x:v>
      </x:c>
    </x:row>
    <x:row r="3">
      <x:c r="A3" s="30" t="s">
        <x:v>915</x:v>
      </x:c>
      <x:c r="B3" s="31" t="s">
        <x:v>916</x:v>
      </x:c>
      <x:c r="C3" s="32" t="s">
        <x:v>914</x:v>
      </x:c>
    </x:row>
    <x:row r="4">
      <x:c r="A4" s="30" t="s">
        <x:v>917</x:v>
      </x:c>
      <x:c r="B4" s="31" t="s">
        <x:v>918</x:v>
      </x:c>
      <x:c r="C4" s="32" t="s">
        <x:v>914</x:v>
      </x:c>
    </x:row>
    <x:row r="5">
      <x:c r="A5" s="30" t="s">
        <x:v>919</x:v>
      </x:c>
      <x:c r="B5" s="31" t="s">
        <x:v>920</x:v>
      </x:c>
      <x:c r="C5" s="32" t="s">
        <x:v>914</x:v>
      </x:c>
    </x:row>
    <x:row r="6">
      <x:c r="A6" s="30" t="s">
        <x:v>921</x:v>
      </x:c>
      <x:c r="B6" s="31" t="s">
        <x:v>922</x:v>
      </x:c>
      <x:c r="C6" s="32" t="s">
        <x:v>914</x:v>
      </x:c>
    </x:row>
    <x:row r="7">
      <x:c r="A7" s="30" t="s">
        <x:v>923</x:v>
      </x:c>
      <x:c r="B7" s="31" t="s">
        <x:v>924</x:v>
      </x:c>
      <x:c r="C7" s="32" t="s">
        <x:v>914</x:v>
      </x:c>
    </x:row>
    <x:row r="8">
      <x:c r="A8" s="30" t="s">
        <x:v>925</x:v>
      </x:c>
      <x:c r="B8" s="31" t="s">
        <x:v>926</x:v>
      </x:c>
      <x:c r="C8" s="32" t="s">
        <x:v>914</x:v>
      </x:c>
    </x:row>
    <x:row r="9">
      <x:c r="A9" s="30" t="s">
        <x:v>927</x:v>
      </x:c>
      <x:c r="B9" s="31" t="s">
        <x:v>928</x:v>
      </x:c>
      <x:c r="C9" s="32" t="s">
        <x:v>914</x:v>
      </x:c>
    </x:row>
    <x:row r="10">
      <x:c r="A10" s="30" t="s">
        <x:v>929</x:v>
      </x:c>
      <x:c r="B10" s="31" t="s">
        <x:v>930</x:v>
      </x:c>
      <x:c r="C10" s="32" t="s">
        <x:v>914</x:v>
      </x:c>
    </x:row>
    <x:row r="11">
      <x:c r="A11" s="30" t="s">
        <x:v>931</x:v>
      </x:c>
      <x:c r="B11" s="31" t="s">
        <x:v>932</x:v>
      </x:c>
      <x:c r="C11" s="32" t="s">
        <x:v>914</x:v>
      </x:c>
    </x:row>
    <x:row r="12">
      <x:c r="A12" s="30" t="s">
        <x:v>933</x:v>
      </x:c>
      <x:c r="B12" s="31" t="s">
        <x:v>934</x:v>
      </x:c>
      <x:c r="C12" s="32" t="s">
        <x:v>914</x:v>
      </x:c>
    </x:row>
    <x:row r="13">
      <x:c r="A13" s="30" t="s">
        <x:v>935</x:v>
      </x:c>
      <x:c r="B13" s="31" t="s">
        <x:v>936</x:v>
      </x:c>
      <x:c r="C13" s="32" t="s">
        <x:v>914</x:v>
      </x:c>
    </x:row>
    <x:row r="14">
      <x:c r="A14" s="30" t="s">
        <x:v>937</x:v>
      </x:c>
      <x:c r="B14" s="31" t="s">
        <x:v>938</x:v>
      </x:c>
      <x:c r="C14" s="32" t="s">
        <x:v>914</x:v>
      </x:c>
    </x:row>
    <x:row r="15">
      <x:c r="A15" s="30" t="s">
        <x:v>939</x:v>
      </x:c>
      <x:c r="B15" s="31" t="s">
        <x:v>940</x:v>
      </x:c>
      <x:c r="C15" s="32" t="s">
        <x:v>914</x:v>
      </x:c>
    </x:row>
    <x:row r="16">
      <x:c r="A16" s="30" t="s">
        <x:v>941</x:v>
      </x:c>
      <x:c r="B16" s="31" t="s">
        <x:v>942</x:v>
      </x:c>
      <x:c r="C16" s="32" t="s">
        <x:v>914</x:v>
      </x:c>
    </x:row>
    <x:row r="17">
      <x:c r="A17" s="30" t="s">
        <x:v>943</x:v>
      </x:c>
      <x:c r="B17" s="31" t="s">
        <x:v>944</x:v>
      </x:c>
      <x:c r="C17" s="32" t="s">
        <x:v>914</x:v>
      </x:c>
    </x:row>
    <x:row r="18">
      <x:c r="A18" s="30" t="s">
        <x:v>945</x:v>
      </x:c>
      <x:c r="B18" s="31" t="s">
        <x:v>946</x:v>
      </x:c>
      <x:c r="C18" s="32" t="s">
        <x:v>914</x:v>
      </x:c>
    </x:row>
    <x:row r="19">
      <x:c r="A19" s="30" t="s">
        <x:v>947</x:v>
      </x:c>
      <x:c r="B19" s="31" t="s">
        <x:v>948</x:v>
      </x:c>
      <x:c r="C19" s="32" t="s">
        <x:v>914</x:v>
      </x:c>
    </x:row>
    <x:row r="20">
      <x:c r="A20" s="30" t="s">
        <x:v>949</x:v>
      </x:c>
      <x:c r="B20" s="31" t="s">
        <x:v>950</x:v>
      </x:c>
      <x:c r="C20" s="32" t="s">
        <x:v>914</x:v>
      </x:c>
    </x:row>
    <x:row r="21">
      <x:c r="A21" s="30" t="s">
        <x:v>951</x:v>
      </x:c>
      <x:c r="B21" s="31" t="s">
        <x:v>952</x:v>
      </x:c>
      <x:c r="C21" s="32" t="s">
        <x:v>914</x:v>
      </x:c>
    </x:row>
    <x:row r="22" ht="27">
      <x:c r="A22" s="30" t="s">
        <x:v>953</x:v>
      </x:c>
      <x:c r="B22" s="31" t="s">
        <x:v>954</x:v>
      </x:c>
      <x:c r="C22" s="32" t="s">
        <x:v>914</x:v>
      </x:c>
    </x:row>
    <x:row r="23" ht="27">
      <x:c r="A23" s="30" t="s">
        <x:v>955</x:v>
      </x:c>
      <x:c r="B23" s="31" t="s">
        <x:v>956</x:v>
      </x:c>
      <x:c r="C23" s="32" t="s">
        <x:v>914</x:v>
      </x:c>
    </x:row>
    <x:row r="24">
      <x:c r="A24" s="30" t="s">
        <x:v>957</x:v>
      </x:c>
      <x:c r="B24" s="31" t="s">
        <x:v>958</x:v>
      </x:c>
      <x:c r="C24" s="32" t="s">
        <x:v>914</x:v>
      </x:c>
    </x:row>
    <x:row r="25">
      <x:c r="A25" s="30" t="s">
        <x:v>959</x:v>
      </x:c>
      <x:c r="B25" s="31" t="s">
        <x:v>960</x:v>
      </x:c>
      <x:c r="C25" s="32" t="s">
        <x:v>914</x:v>
      </x:c>
    </x:row>
    <x:row r="26">
      <x:c r="A26" s="30" t="s">
        <x:v>961</x:v>
      </x:c>
      <x:c r="B26" s="31" t="s">
        <x:v>962</x:v>
      </x:c>
      <x:c r="C26" s="32" t="s">
        <x:v>914</x:v>
      </x:c>
    </x:row>
    <x:row r="27">
      <x:c r="A27" s="30" t="s">
        <x:v>963</x:v>
      </x:c>
      <x:c r="B27" s="31" t="s">
        <x:v>964</x:v>
      </x:c>
      <x:c r="C27" s="32" t="s">
        <x:v>914</x:v>
      </x:c>
    </x:row>
    <x:row r="28">
      <x:c r="A28" s="43" t="s">
        <x:v>965</x:v>
      </x:c>
      <x:c r="B28" s="44" t="s">
        <x:v>966</x:v>
      </x:c>
      <x:c r="C28" s="47" t="s">
        <x:v>914</x:v>
      </x:c>
    </x:row>
    <x:row r="29">
      <x:c r="A29" s="43" t="s">
        <x:v>967</x:v>
      </x:c>
      <x:c r="B29" s="44" t="s">
        <x:v>968</x:v>
      </x:c>
      <x:c r="C29" s="47" t="s">
        <x:v>914</x:v>
      </x:c>
    </x:row>
    <x:row r="30">
      <x:c r="A30" s="43" t="s">
        <x:v>969</x:v>
      </x:c>
      <x:c r="B30" s="44" t="s">
        <x:v>970</x:v>
      </x:c>
      <x:c r="C30" s="47" t="s">
        <x:v>914</x:v>
      </x:c>
    </x:row>
    <x:row r="31">
      <x:c r="A31" s="45" t="s">
        <x:v>971</x:v>
      </x:c>
      <x:c r="B31" s="46" t="s">
        <x:v>972</x:v>
      </x:c>
      <x:c r="C31" s="76" t="s">
        <x:v>914</x:v>
      </x:c>
    </x:row>
    <x:row r="32">
      <x:c r="A32" s="43" t="s">
        <x:v>973</x:v>
      </x:c>
      <x:c r="B32" s="44" t="s">
        <x:v>974</x:v>
      </x:c>
      <x:c r="C32" s="47" t="s">
        <x:v>914</x:v>
      </x:c>
    </x:row>
    <x:row r="33">
      <x:c r="A33" s="43" t="s">
        <x:v>975</x:v>
      </x:c>
      <x:c r="B33" s="44" t="s">
        <x:v>976</x:v>
      </x:c>
      <x:c r="C33" s="47" t="s">
        <x:v>914</x:v>
      </x:c>
    </x:row>
    <x:row r="34">
      <x:c r="A34" s="43" t="s">
        <x:v>977</x:v>
      </x:c>
      <x:c r="B34" s="44" t="s">
        <x:v>978</x:v>
      </x:c>
      <x:c r="C34" s="47" t="s">
        <x:v>914</x:v>
      </x:c>
    </x:row>
    <x:row r="35">
      <x:c r="A35" s="45" t="s">
        <x:v>979</x:v>
      </x:c>
      <x:c r="B35" s="46" t="s">
        <x:v>980</x:v>
      </x:c>
      <x:c r="C35" s="47" t="s">
        <x:v>914</x:v>
      </x:c>
    </x:row>
    <x:row r="36">
      <x:c r="A36" s="43" t="s">
        <x:v>981</x:v>
      </x:c>
      <x:c r="B36" s="44" t="s">
        <x:v>982</x:v>
      </x:c>
      <x:c r="C36" s="47" t="s">
        <x:v>914</x:v>
      </x:c>
    </x:row>
    <x:row r="37">
      <x:c r="A37" s="43" t="s">
        <x:v>983</x:v>
      </x:c>
      <x:c r="B37" s="44" t="s">
        <x:v>984</x:v>
      </x:c>
      <x:c r="C37" s="47" t="s">
        <x:v>914</x:v>
      </x:c>
    </x:row>
    <x:row r="38">
      <x:c r="A38" s="43" t="s">
        <x:v>985</x:v>
      </x:c>
      <x:c r="B38" s="44" t="s">
        <x:v>986</x:v>
      </x:c>
      <x:c r="C38" s="47" t="s">
        <x:v>914</x:v>
      </x:c>
    </x:row>
    <x:row r="39">
      <x:c r="A39" s="43" t="s">
        <x:v>987</x:v>
      </x:c>
      <x:c r="B39" s="44" t="s">
        <x:v>988</x:v>
      </x:c>
      <x:c r="C39" s="47" t="s">
        <x:v>914</x:v>
      </x:c>
    </x:row>
    <x:row r="40">
      <x:c r="A40" s="43" t="s">
        <x:v>989</x:v>
      </x:c>
      <x:c r="B40" s="44" t="s">
        <x:v>990</x:v>
      </x:c>
      <x:c r="C40" s="47" t="s">
        <x:v>991</x:v>
      </x:c>
    </x:row>
    <x:row r="41">
      <x:c r="A41" s="30" t="s">
        <x:v>992</x:v>
      </x:c>
      <x:c r="B41" s="31" t="s">
        <x:v>993</x:v>
      </x:c>
      <x:c r="C41" s="32" t="s">
        <x:v>994</x:v>
      </x:c>
    </x:row>
    <x:row r="42">
      <x:c r="A42" s="30" t="s">
        <x:v>995</x:v>
      </x:c>
      <x:c r="B42" s="31" t="s">
        <x:v>996</x:v>
      </x:c>
      <x:c r="C42" s="32" t="s">
        <x:v>994</x:v>
      </x:c>
    </x:row>
    <x:row r="43" ht="27">
      <x:c r="A43" s="30" t="s">
        <x:v>997</x:v>
      </x:c>
      <x:c r="B43" s="31" t="s">
        <x:v>998</x:v>
      </x:c>
      <x:c r="C43" s="32" t="s">
        <x:v>994</x:v>
      </x:c>
    </x:row>
    <x:row r="44">
      <x:c r="A44" s="30" t="s">
        <x:v>992</x:v>
      </x:c>
      <x:c r="B44" s="31" t="s">
        <x:v>999</x:v>
      </x:c>
      <x:c r="C44" s="32" t="s">
        <x:v>994</x:v>
      </x:c>
    </x:row>
    <x:row r="45">
      <x:c r="A45" s="43" t="s">
        <x:v>1000</x:v>
      </x:c>
      <x:c r="B45" s="44" t="s">
        <x:v>1001</x:v>
      </x:c>
      <x:c r="C45" s="47" t="s">
        <x:v>994</x:v>
      </x:c>
    </x:row>
    <x:row r="46">
      <x:c r="A46" s="43" t="s">
        <x:v>1002</x:v>
      </x:c>
      <x:c r="B46" s="44" t="s">
        <x:v>1003</x:v>
      </x:c>
      <x:c r="C46" s="47" t="s">
        <x:v>994</x:v>
      </x:c>
    </x:row>
    <x:row r="47">
      <x:c r="A47" s="43" t="s">
        <x:v>1004</x:v>
      </x:c>
      <x:c r="B47" s="44" t="s">
        <x:v>1005</x:v>
      </x:c>
      <x:c r="C47" s="47" t="s">
        <x:v>994</x:v>
      </x:c>
    </x:row>
    <x:row r="48">
      <x:c r="A48" s="75" t="s">
        <x:v>1006</x:v>
      </x:c>
      <x:c r="B48" s="75" t="s">
        <x:v>1007</x:v>
      </x:c>
      <x:c r="C48" s="77" t="s">
        <x:v>994</x:v>
      </x:c>
    </x:row>
    <x:row r="49">
      <x:c r="A49" s="75" t="s">
        <x:v>1008</x:v>
      </x:c>
      <x:c r="B49" s="75" t="s">
        <x:v>1009</x:v>
      </x:c>
      <x:c r="C49" s="77" t="s">
        <x:v>914</x:v>
      </x:c>
    </x:row>
    <x:row r="50">
      <x:c r="A50" t="str">
        <x:v>Phase 8 API and chaincode syntax checks</x:v>
      </x:c>
      <x:c r="B50" t="str">
        <x:v>Pass. node --check succeeded for dental-backend/index.js and dentalRecordSharing.js after the consent, notification, revocation, and audit changes.</x:v>
      </x:c>
      <x:c r="C50" t="str">
        <x:v>Pass</x:v>
      </x:c>
    </x:row>
    <x:row r="51">
      <x:c r="A51" t="str">
        <x:v>Phase 8 backend/API source regression suite</x:v>
      </x:c>
      <x:c r="B51" t="str">
        <x:v>Pass. 28/28 dental-backend source tests passed, including the new Phase 8 consent, notification, revocation, audit, and patient-facing request-detail checks.</x:v>
      </x:c>
      <x:c r="C51" t="str">
        <x:v>Pass</x:v>
      </x:c>
    </x:row>
    <x:row r="52">
      <x:c r="A52" t="str">
        <x:v>Phase 8 frontend lint/build/source checks</x:v>
      </x:c>
      <x:c r="B52" t="str">
        <x:v>Pass with warnings. Frontend source tests 5/5 passed, ESLint completed with zero findings, and Vite production build succeeded. Existing Cornerstone codec browser-compatibility and large-chunk warnings remain.</x:v>
      </x:c>
      <x:c r="C52" t="str">
        <x:v>Pass (warnings)</x:v>
      </x:c>
    </x:row>
    <x:row r="53">
      <x:c r="A53" t="str">
        <x:v>Phase 8 AWS deployment build gates</x:v>
      </x:c>
      <x:c r="B53" t="str">
        <x:v>Pass. On the VM, backend/API tests 28/28 passed, direct chaincode tests 18/18 passed, frontend tests 5/5 passed, frontend lint passed, and Vite production build completed with inherited Cornerstone/chunk warnings.</x:v>
      </x:c>
      <x:c r="C53" t="str">
        <x:v>Pass (warnings)</x:v>
      </x:c>
    </x:row>
    <x:row r="54">
      <x:c r="A54" t="str">
        <x:v>Phase 8 AWS consent/audit runtime smoke</x:v>
      </x:c>
      <x:c r="B54" t="str">
        <x:v>Pass. Authenticated smoke verified public frontend HTTP 200, doctor/admin/patient login, pre-consent denial, doctor request creation, admin notification/approval, patient notification/read status, patient consent metadata, consent-based doctor access, immutable audit retrieval, revocation, and denial after revocation.</x:v>
      </x:c>
      <x:c r="C54" t="str">
        <x:v>Pass</x:v>
      </x:c>
    </x:row>
  </x:sheetData>
  <x:conditionalFormatting sqref="C2:C47">
    <x:cfRule type="expression" dxfId="10" priority="1">
      <x:formula>ISNUMBER(SEARCH("pending",C2))</x:formula>
    </x:cfRule>
    <x:cfRule type="expression" dxfId="9" priority="2">
      <x:formula>ISNUMBER(SEARCH("warning",C2))</x:formula>
    </x:cfRule>
    <x:cfRule type="expression" dxfId="8" priority="3">
      <x:formula>EXACT(C2,"Pass")</x:formula>
    </x:cfRule>
  </x:conditionalFormatting>
  <x:pageMargins left="0.7" right="0.7" top="0.75" bottom="0.75" header="0.3" footer="0.3"/>
  <x:tableParts count="1">
    <x:tablePart xmlns:r="http://schemas.openxmlformats.org/officeDocument/2006/relationships" r:id="R40325519e5f641f0"/>
  </x:tableParts>
</x:worksheet>
</file>

<file path=xl/worksheets/sheet5.xml><?xml version="1.0" encoding="utf-8"?>
<x:worksheet xmlns:x="http://schemas.openxmlformats.org/spreadsheetml/2006/main">
  <x:sheetFormatPr defaultRowHeight="15"/>
  <x:cols>
    <x:col min="1" max="1" width="36.5703125" style="3" customWidth="1"/>
    <x:col min="2" max="2" width="216.85546875" style="3" customWidth="1"/>
    <x:col min="3" max="16384" width="9.140625" style="3" customWidth="0"/>
  </x:cols>
  <x:sheetData>
    <x:row r="1">
      <x:c r="A1" s="2" t="s">
        <x:v>1010</x:v>
      </x:c>
      <x:c r="B1" s="2" t="s">
        <x:v>1011</x:v>
      </x:c>
    </x:row>
    <x:row r="2">
      <x:c r="A2" s="9" t="s">
        <x:v>1012</x:v>
      </x:c>
      <x:c r="B2" s="4" t="s">
        <x:v>1013</x:v>
      </x:c>
    </x:row>
    <x:row r="3">
      <x:c r="A3" s="9" t="s">
        <x:v>1014</x:v>
      </x:c>
      <x:c r="B3" s="4" t="s">
        <x:v>1015</x:v>
      </x:c>
    </x:row>
    <x:row r="4">
      <x:c r="A4" s="9" t="s">
        <x:v>1016</x:v>
      </x:c>
      <x:c r="B4" s="4" t="s">
        <x:v>1017</x:v>
      </x:c>
    </x:row>
    <x:row r="5">
      <x:c r="A5" s="9" t="s">
        <x:v>1018</x:v>
      </x:c>
      <x:c r="B5" s="4" t="s">
        <x:v>1019</x:v>
      </x:c>
    </x:row>
    <x:row r="6">
      <x:c r="A6" s="9" t="s">
        <x:v>1020</x:v>
      </x:c>
      <x:c r="B6" s="4" t="s">
        <x:v>1021</x:v>
      </x:c>
    </x:row>
    <x:row r="7">
      <x:c r="A7" s="9" t="s">
        <x:v>1022</x:v>
      </x:c>
      <x:c r="B7" s="4" t="s">
        <x:v>1023</x:v>
      </x:c>
    </x:row>
    <x:row r="8">
      <x:c r="A8" s="9" t="s">
        <x:v>1024</x:v>
      </x:c>
      <x:c r="B8" s="4" t="s">
        <x:v>1025</x:v>
      </x:c>
    </x:row>
    <x:row r="9">
      <x:c r="A9" s="9" t="s">
        <x:v>1026</x:v>
      </x:c>
      <x:c r="B9" s="4" t="s">
        <x:v>1027</x:v>
      </x:c>
    </x:row>
    <x:row r="10">
      <x:c r="A10" s="9" t="s">
        <x:v>1028</x:v>
      </x:c>
      <x:c r="B10" s="4" t="s">
        <x:v>1029</x:v>
      </x:c>
    </x:row>
    <x:row r="11">
      <x:c r="A11" s="9" t="s">
        <x:v>1030</x:v>
      </x:c>
      <x:c r="B11" s="4" t="s">
        <x:v>1031</x:v>
      </x:c>
    </x:row>
    <x:row r="12">
      <x:c r="A12" s="9" t="s">
        <x:v>1032</x:v>
      </x:c>
      <x:c r="B12" s="4" t="s">
        <x:v>1033</x:v>
      </x:c>
    </x:row>
    <x:row r="13">
      <x:c r="A13" s="53" t="s">
        <x:v>1034</x:v>
      </x:c>
      <x:c r="B13" s="52" t="s">
        <x:v>1035</x:v>
      </x:c>
    </x:row>
    <x:row r="14">
      <x:c r="A14"/>
      <x:c r="B14"/>
    </x:row>
  </x:sheetData>
  <x:pageMargins left="0.7" right="0.7" top="0.75" bottom="0.75" header="0.3" footer="0.3"/>
  <x:tableParts count="1">
    <x:tablePart xmlns:r="http://schemas.openxmlformats.org/officeDocument/2006/relationships" r:id="R78c0078050304e61"/>
  </x:tableParts>
</x:worksheet>
</file>

<file path=xl/worksheets/sheet6.xml><?xml version="1.0" encoding="utf-8"?>
<x:worksheet xmlns:x="http://schemas.openxmlformats.org/spreadsheetml/2006/main">
  <x:sheetFormatPr defaultRowHeight="15"/>
  <x:cols>
    <x:col min="1" max="1" width="13.28515625" style="6" customWidth="1"/>
    <x:col min="2" max="2" width="36" style="3" customWidth="1"/>
    <x:col min="3" max="3" width="53.85546875" style="3" customWidth="1"/>
    <x:col min="4" max="4" width="59.85546875" style="3" customWidth="1"/>
    <x:col min="5" max="5" width="65.7109375" style="3" customWidth="1"/>
    <x:col min="6" max="6" width="95" style="13" customWidth="1"/>
    <x:col min="7" max="16384" width="9.140625" style="3" customWidth="0"/>
  </x:cols>
  <x:sheetData>
    <x:row r="1" s="8" customFormat="1">
      <x:c r="A1" s="12" t="s">
        <x:v>24</x:v>
      </x:c>
      <x:c r="B1" s="12" t="s">
        <x:v>861</x:v>
      </x:c>
      <x:c r="C1" s="12" t="s">
        <x:v>1036</x:v>
      </x:c>
      <x:c r="D1" s="12" t="s">
        <x:v>1037</x:v>
      </x:c>
      <x:c r="E1" s="12" t="s">
        <x:v>1038</x:v>
      </x:c>
      <x:c r="F1" s="12" t="s">
        <x:v>1039</x:v>
      </x:c>
    </x:row>
    <x:row r="2">
      <x:c r="A2" s="11" t="s">
        <x:v>1040</x:v>
      </x:c>
      <x:c r="B2" s="10" t="s">
        <x:v>1041</x:v>
      </x:c>
      <x:c r="C2" s="10" t="s">
        <x:v>1042</x:v>
      </x:c>
      <x:c r="D2" s="10" t="s">
        <x:v>1043</x:v>
      </x:c>
      <x:c r="E2" s="10" t="s">
        <x:v>1044</x:v>
      </x:c>
      <x:c r="F2" s="10" t="s">
        <x:v>1045</x:v>
      </x:c>
    </x:row>
    <x:row r="3" ht="27">
      <x:c r="A3" s="11" t="s">
        <x:v>1046</x:v>
      </x:c>
      <x:c r="B3" s="10" t="s">
        <x:v>1047</x:v>
      </x:c>
      <x:c r="C3" s="10" t="s">
        <x:v>1048</x:v>
      </x:c>
      <x:c r="D3" s="10" t="s">
        <x:v>1049</x:v>
      </x:c>
      <x:c r="E3" s="10" t="s">
        <x:v>1050</x:v>
      </x:c>
      <x:c r="F3" s="10" t="s">
        <x:v>1051</x:v>
      </x:c>
    </x:row>
    <x:row r="4" ht="27">
      <x:c r="A4" s="11" t="s">
        <x:v>1052</x:v>
      </x:c>
      <x:c r="B4" s="10" t="s">
        <x:v>1053</x:v>
      </x:c>
      <x:c r="C4" s="10" t="s">
        <x:v>1054</x:v>
      </x:c>
      <x:c r="D4" s="10" t="s">
        <x:v>1055</x:v>
      </x:c>
      <x:c r="E4" s="10" t="s">
        <x:v>1056</x:v>
      </x:c>
      <x:c r="F4" s="10" t="s">
        <x:v>1057</x:v>
      </x:c>
    </x:row>
    <x:row r="5" ht="27">
      <x:c r="A5" s="11" t="s">
        <x:v>1058</x:v>
      </x:c>
      <x:c r="B5" s="10" t="s">
        <x:v>1059</x:v>
      </x:c>
      <x:c r="C5" s="10" t="s">
        <x:v>1060</x:v>
      </x:c>
      <x:c r="D5" s="10" t="s">
        <x:v>1061</x:v>
      </x:c>
      <x:c r="E5" s="10" t="s">
        <x:v>1062</x:v>
      </x:c>
      <x:c r="F5" s="10" t="s">
        <x:v>1063</x:v>
      </x:c>
    </x:row>
    <x:row r="6" ht="40.5">
      <x:c r="A6" s="5" t="s">
        <x:v>1064</x:v>
      </x:c>
      <x:c r="B6" s="4" t="s">
        <x:v>1065</x:v>
      </x:c>
      <x:c r="C6" s="4" t="s">
        <x:v>1066</x:v>
      </x:c>
      <x:c r="D6" s="4" t="s">
        <x:v>1067</x:v>
      </x:c>
      <x:c r="E6" s="4" t="s">
        <x:v>1068</x:v>
      </x:c>
      <x:c r="F6" s="4" t="s">
        <x:v>1069</x:v>
      </x:c>
    </x:row>
    <x:row r="7" ht="27">
      <x:c r="A7" s="11" t="s">
        <x:v>1070</x:v>
      </x:c>
      <x:c r="B7" s="10" t="s">
        <x:v>1053</x:v>
      </x:c>
      <x:c r="C7" s="10" t="s">
        <x:v>1071</x:v>
      </x:c>
      <x:c r="D7" s="10" t="s">
        <x:v>1072</x:v>
      </x:c>
      <x:c r="E7" s="10" t="s">
        <x:v>1073</x:v>
      </x:c>
      <x:c r="F7" s="10" t="s">
        <x:v>1074</x:v>
      </x:c>
    </x:row>
    <x:row r="8" ht="27">
      <x:c r="A8" s="11" t="s">
        <x:v>1075</x:v>
      </x:c>
      <x:c r="B8" s="10" t="s">
        <x:v>1076</x:v>
      </x:c>
      <x:c r="C8" s="10" t="s">
        <x:v>1077</x:v>
      </x:c>
      <x:c r="D8" s="10" t="s">
        <x:v>1078</x:v>
      </x:c>
      <x:c r="E8" s="10" t="s">
        <x:v>1079</x:v>
      </x:c>
      <x:c r="F8" s="10" t="s">
        <x:v>1080</x:v>
      </x:c>
    </x:row>
    <x:row r="9" ht="40.5">
      <x:c r="A9" s="11" t="s">
        <x:v>1081</x:v>
      </x:c>
      <x:c r="B9" s="10" t="s">
        <x:v>1082</x:v>
      </x:c>
      <x:c r="C9" s="10" t="s">
        <x:v>1066</x:v>
      </x:c>
      <x:c r="D9" s="10" t="s">
        <x:v>1083</x:v>
      </x:c>
      <x:c r="E9" s="10" t="s">
        <x:v>1084</x:v>
      </x:c>
      <x:c r="F9" s="10" t="s">
        <x:v>1085</x:v>
      </x:c>
    </x:row>
    <x:row r="10" ht="27">
      <x:c r="A10" s="11" t="s">
        <x:v>1086</x:v>
      </x:c>
      <x:c r="B10" s="10" t="s">
        <x:v>1053</x:v>
      </x:c>
      <x:c r="C10" s="10" t="s">
        <x:v>1087</x:v>
      </x:c>
      <x:c r="D10" s="10" t="s">
        <x:v>1088</x:v>
      </x:c>
      <x:c r="E10" s="10" t="s">
        <x:v>1089</x:v>
      </x:c>
      <x:c r="F10" s="10" t="s">
        <x:v>1090</x:v>
      </x:c>
    </x:row>
    <x:row r="11" ht="27">
      <x:c r="A11" s="11" t="s">
        <x:v>1091</x:v>
      </x:c>
      <x:c r="B11" s="10" t="s">
        <x:v>1092</x:v>
      </x:c>
      <x:c r="C11" s="10" t="s">
        <x:v>1077</x:v>
      </x:c>
      <x:c r="D11" s="10" t="s">
        <x:v>1093</x:v>
      </x:c>
      <x:c r="E11" s="10" t="s">
        <x:v>1094</x:v>
      </x:c>
      <x:c r="F11" s="10" t="s">
        <x:v>1095</x:v>
      </x:c>
    </x:row>
    <x:row r="12" ht="27">
      <x:c r="A12" s="11" t="s">
        <x:v>1096</x:v>
      </x:c>
      <x:c r="B12" s="10" t="s">
        <x:v>1097</x:v>
      </x:c>
      <x:c r="C12" s="10" t="s">
        <x:v>1098</x:v>
      </x:c>
      <x:c r="D12" s="10" t="s">
        <x:v>1099</x:v>
      </x:c>
      <x:c r="E12" s="10" t="s">
        <x:v>1100</x:v>
      </x:c>
      <x:c r="F12" s="10" t="s">
        <x:v>1101</x:v>
      </x:c>
    </x:row>
    <x:row r="13" ht="27">
      <x:c r="A13" s="11" t="s">
        <x:v>1102</x:v>
      </x:c>
      <x:c r="B13" s="10" t="s">
        <x:v>1103</x:v>
      </x:c>
      <x:c r="C13" s="10" t="s">
        <x:v>1066</x:v>
      </x:c>
      <x:c r="D13" s="10" t="s">
        <x:v>1104</x:v>
      </x:c>
      <x:c r="E13" s="10" t="s">
        <x:v>1105</x:v>
      </x:c>
      <x:c r="F13" s="10" t="s">
        <x:v>1106</x:v>
      </x:c>
    </x:row>
    <x:row r="14" ht="27">
      <x:c r="A14" s="11" t="s">
        <x:v>1107</x:v>
      </x:c>
      <x:c r="B14" s="10" t="s">
        <x:v>1108</x:v>
      </x:c>
      <x:c r="C14" s="10" t="s">
        <x:v>1109</x:v>
      </x:c>
      <x:c r="D14" s="10" t="s">
        <x:v>1110</x:v>
      </x:c>
      <x:c r="E14" s="10" t="s">
        <x:v>1111</x:v>
      </x:c>
      <x:c r="F14" s="10" t="s">
        <x:v>1112</x:v>
      </x:c>
    </x:row>
    <x:row r="15" ht="27">
      <x:c r="A15" s="11" t="s">
        <x:v>1113</x:v>
      </x:c>
      <x:c r="B15" s="10" t="s">
        <x:v>1114</x:v>
      </x:c>
      <x:c r="C15" s="10" t="s">
        <x:v>1077</x:v>
      </x:c>
      <x:c r="D15" s="10" t="s">
        <x:v>1093</x:v>
      </x:c>
      <x:c r="E15" s="10" t="s">
        <x:v>1115</x:v>
      </x:c>
      <x:c r="F15" s="10" t="s">
        <x:v>1116</x:v>
      </x:c>
    </x:row>
    <x:row r="16" ht="27">
      <x:c r="A16" s="11" t="s">
        <x:v>1117</x:v>
      </x:c>
      <x:c r="B16" s="10" t="s">
        <x:v>1118</x:v>
      </x:c>
      <x:c r="C16" s="10" t="s">
        <x:v>1119</x:v>
      </x:c>
      <x:c r="D16" s="10" t="s">
        <x:v>1120</x:v>
      </x:c>
      <x:c r="E16" s="10" t="s">
        <x:v>1121</x:v>
      </x:c>
      <x:c r="F16" s="10" t="s">
        <x:v>1122</x:v>
      </x:c>
    </x:row>
    <x:row r="17" ht="27">
      <x:c r="A17" s="11" t="s">
        <x:v>1123</x:v>
      </x:c>
      <x:c r="B17" s="10" t="s">
        <x:v>1092</x:v>
      </x:c>
      <x:c r="C17" s="10" t="s">
        <x:v>1077</x:v>
      </x:c>
      <x:c r="D17" s="10" t="s">
        <x:v>1093</x:v>
      </x:c>
      <x:c r="E17" s="10" t="s">
        <x:v>1124</x:v>
      </x:c>
      <x:c r="F17" s="10" t="s">
        <x:v>1125</x:v>
      </x:c>
    </x:row>
    <x:row r="18" ht="27">
      <x:c r="A18" s="11" t="s">
        <x:v>1126</x:v>
      </x:c>
      <x:c r="B18" s="10" t="s">
        <x:v>1127</x:v>
      </x:c>
      <x:c r="C18" s="10" t="s">
        <x:v>1128</x:v>
      </x:c>
      <x:c r="D18" s="10" t="s">
        <x:v>1129</x:v>
      </x:c>
      <x:c r="E18" s="10" t="s">
        <x:v>1130</x:v>
      </x:c>
      <x:c r="F18" s="10" t="s">
        <x:v>1131</x:v>
      </x:c>
    </x:row>
    <x:row r="19" ht="40.5">
      <x:c r="A19" s="11" t="s">
        <x:v>1132</x:v>
      </x:c>
      <x:c r="B19" s="10" t="s">
        <x:v>1133</x:v>
      </x:c>
      <x:c r="C19" s="10" t="s">
        <x:v>1134</x:v>
      </x:c>
      <x:c r="D19" s="10" t="s">
        <x:v>1135</x:v>
      </x:c>
      <x:c r="E19" s="10" t="s">
        <x:v>1136</x:v>
      </x:c>
      <x:c r="F19" s="10" t="s">
        <x:v>1137</x:v>
      </x:c>
    </x:row>
    <x:row r="20">
      <x:c r="A20" t="str">
        <x:v>P8-DB-01</x:v>
      </x:c>
      <x:c r="B20" t="str">
        <x:v>Database migration assessment</x:v>
      </x:c>
      <x:c r="C20" t="str">
        <x:v>No MySQL migration required</x:v>
      </x:c>
      <x:c r="D20" t="str">
        <x:v>Phase 8 consent/notification/audit deployment</x:v>
      </x:c>
      <x:c r="E20" t="str">
        <x:v>No Phase 8 database migration file was required. Runtime rollout required Fabric chaincode upgrade plus Blockchain API/web deployment and smoke verification.</x:v>
      </x:c>
      <x:c r="F20" t="str">
        <x:v>Passed 2026-07-14. No MySQL migration was run; final Fabric lifecycle migration is tracked separately in P8-FAB-01.</x:v>
      </x:c>
    </x:row>
    <x:row r="21">
      <x:c r="A21" t="str">
        <x:v>P8-FAB-01</x:v>
      </x:c>
      <x:c r="B21" t="str">
        <x:v>Fabric consent, notification, revocation, and audit chaincode upgrade</x:v>
      </x:c>
      <x:c r="C21" t="str">
        <x:v>Yes</x:v>
      </x:c>
      <x:c r="D21" t="str">
        <x:v>dentalRecordSharing.js; dental-backend/index.js</x:v>
      </x:c>
      <x:c r="E21" t="str">
        <x:v>Package/install/approve/commit Phase 8 chaincode, restart Blockchain API, rebuild/copy frontend, and run consent/audit smoke.</x:v>
      </x:c>
      <x:c r="F21" t="str">
        <x:v>Passed 2026-07-14. Initial `basic` 1.0.8 sequence 10 was superseded after Fabric JavaScript default-parameter metadata arity mismatch; final `basic` 1.0.9 sequence 11 committed with Org1MSP/Org2MSP approvals and smoke marker `PHASE8_CONSENT_AUDIT_SMOKE_OK`.</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 customWidth="1"/>
    <x:col min="2" max="2" width="22.85546875" style="3" customWidth="1"/>
    <x:col min="3" max="6" width="57.140625" style="3" customWidth="1"/>
    <x:col min="7" max="7" width="70.140625" style="3" customWidth="1"/>
    <x:col min="8" max="16384" width="9.140625" style="3" customWidth="0"/>
  </x:cols>
  <x:sheetData>
    <x:row r="1">
      <x:c r="A1" s="1" t="s">
        <x:v>1138</x:v>
      </x:c>
      <x:c r="B1" s="1" t="s">
        <x:v>1139</x:v>
      </x:c>
      <x:c r="C1" s="1" t="s">
        <x:v>1140</x:v>
      </x:c>
      <x:c r="D1" s="1" t="s">
        <x:v>1141</x:v>
      </x:c>
      <x:c r="E1" s="1" t="s">
        <x:v>1142</x:v>
      </x:c>
      <x:c r="F1" s="1" t="s">
        <x:v>1143</x:v>
      </x:c>
      <x:c r="G1" s="1" t="s">
        <x:v>1144</x:v>
      </x:c>
    </x:row>
    <x:row r="2" ht="40.5">
      <x:c r="A2" s="25" t="s">
        <x:v>555</x:v>
      </x:c>
      <x:c r="B2" s="10" t="s">
        <x:v>1145</x:v>
      </x:c>
      <x:c r="C2" s="10" t="s">
        <x:v>1146</x:v>
      </x:c>
      <x:c r="D2" s="10" t="s">
        <x:v>1147</x:v>
      </x:c>
      <x:c r="E2" s="10" t="s">
        <x:v>1148</x:v>
      </x:c>
      <x:c r="F2" s="10" t="s">
        <x:v>1149</x:v>
      </x:c>
      <x:c r="G2" s="10" t="s">
        <x:v>1150</x:v>
      </x:c>
    </x:row>
    <x:row r="3" ht="40.5">
      <x:c r="A3" s="25" t="s">
        <x:v>563</x:v>
      </x:c>
      <x:c r="B3" s="10" t="s">
        <x:v>1151</x:v>
      </x:c>
      <x:c r="C3" s="10" t="s">
        <x:v>1152</x:v>
      </x:c>
      <x:c r="D3" s="10" t="s">
        <x:v>1153</x:v>
      </x:c>
      <x:c r="E3" s="10" t="s">
        <x:v>1154</x:v>
      </x:c>
      <x:c r="F3" s="10" t="s">
        <x:v>1155</x:v>
      </x:c>
      <x:c r="G3" s="10" t="s">
        <x:v>1156</x:v>
      </x:c>
    </x:row>
    <x:row r="4" ht="40.5">
      <x:c r="A4" s="25" t="s">
        <x:v>569</x:v>
      </x:c>
      <x:c r="B4" s="10" t="s">
        <x:v>1157</x:v>
      </x:c>
      <x:c r="C4" s="10" t="s">
        <x:v>1158</x:v>
      </x:c>
      <x:c r="D4" s="10" t="s">
        <x:v>1159</x:v>
      </x:c>
      <x:c r="E4" s="10" t="s">
        <x:v>1160</x:v>
      </x:c>
      <x:c r="F4" s="10" t="s">
        <x:v>1161</x:v>
      </x:c>
      <x:c r="G4" s="10" t="s">
        <x:v>1162</x:v>
      </x:c>
    </x:row>
    <x:row r="5" ht="40.5">
      <x:c r="A5" s="25" t="s">
        <x:v>575</x:v>
      </x:c>
      <x:c r="B5" s="10" t="s">
        <x:v>1163</x:v>
      </x:c>
      <x:c r="C5" s="10" t="s">
        <x:v>1164</x:v>
      </x:c>
      <x:c r="D5" s="10" t="s">
        <x:v>1165</x:v>
      </x:c>
      <x:c r="E5" s="10" t="s">
        <x:v>1166</x:v>
      </x:c>
      <x:c r="F5" s="10" t="s">
        <x:v>1167</x:v>
      </x:c>
      <x:c r="G5" s="10" t="s">
        <x:v>1168</x:v>
      </x:c>
    </x:row>
    <x:row r="6" ht="27">
      <x:c r="A6" s="25" t="s">
        <x:v>1169</x:v>
      </x:c>
      <x:c r="B6" s="10" t="s">
        <x:v>1170</x:v>
      </x:c>
      <x:c r="C6" s="10" t="s">
        <x:v>1171</x:v>
      </x:c>
      <x:c r="D6" s="10" t="s">
        <x:v>1172</x:v>
      </x:c>
      <x:c r="E6" s="10" t="s">
        <x:v>1173</x:v>
      </x:c>
      <x:c r="F6" s="10" t="s">
        <x:v>1174</x:v>
      </x:c>
      <x:c r="G6" s="10" t="s">
        <x:v>1175</x:v>
      </x:c>
    </x:row>
    <x:row r="7" ht="27">
      <x:c r="A7" s="25" t="s">
        <x:v>1176</x:v>
      </x:c>
      <x:c r="B7" s="10" t="s">
        <x:v>1177</x:v>
      </x:c>
      <x:c r="C7" s="10" t="s">
        <x:v>1178</x:v>
      </x:c>
      <x:c r="D7" s="10" t="s">
        <x:v>1179</x:v>
      </x:c>
      <x:c r="E7" s="10" t="s">
        <x:v>1180</x:v>
      </x:c>
      <x:c r="F7" s="10" t="s">
        <x:v>1181</x:v>
      </x:c>
      <x:c r="G7" s="10" t="s">
        <x:v>1182</x:v>
      </x:c>
    </x:row>
    <x:row r="8" ht="27">
      <x:c r="A8" s="25" t="s">
        <x:v>1183</x:v>
      </x:c>
      <x:c r="B8" s="10" t="s">
        <x:v>1184</x:v>
      </x:c>
      <x:c r="C8" s="10" t="s">
        <x:v>1185</x:v>
      </x:c>
      <x:c r="D8" s="10" t="s">
        <x:v>1186</x:v>
      </x:c>
      <x:c r="E8" s="10" t="s">
        <x:v>1187</x:v>
      </x:c>
      <x:c r="F8" s="10" t="s">
        <x:v>1188</x:v>
      </x:c>
      <x:c r="G8" s="10" t="s">
        <x:v>1189</x:v>
      </x:c>
    </x:row>
    <x:row r="9" ht="54">
      <x:c r="A9" s="25" t="s">
        <x:v>1190</x:v>
      </x:c>
      <x:c r="B9" s="10" t="s">
        <x:v>1191</x:v>
      </x:c>
      <x:c r="C9" s="10" t="s">
        <x:v>1192</x:v>
      </x:c>
      <x:c r="D9" s="10" t="s">
        <x:v>1193</x:v>
      </x:c>
      <x:c r="E9" s="10" t="s">
        <x:v>1194</x:v>
      </x:c>
      <x:c r="F9" s="10" t="s">
        <x:v>1195</x:v>
      </x:c>
      <x:c r="G9" s="10" t="s">
        <x:v>1196</x:v>
      </x:c>
    </x:row>
    <x:row r="10" ht="27">
      <x:c r="A10" s="25" t="s">
        <x:v>1197</x:v>
      </x:c>
      <x:c r="B10" s="10" t="s">
        <x:v>1198</x:v>
      </x:c>
      <x:c r="C10" s="10" t="s">
        <x:v>1199</x:v>
      </x:c>
      <x:c r="D10" s="10" t="s">
        <x:v>1200</x:v>
      </x:c>
      <x:c r="E10" s="10" t="s">
        <x:v>1198</x:v>
      </x:c>
      <x:c r="F10" s="10" t="s">
        <x:v>1201</x:v>
      </x:c>
      <x:c r="G10" s="10" t="s">
        <x:v>1202</x:v>
      </x:c>
    </x:row>
    <x:row r="11" ht="27">
      <x:c r="A11" s="25" t="s">
        <x:v>1203</x:v>
      </x:c>
      <x:c r="B11" s="10" t="s">
        <x:v>1204</x:v>
      </x:c>
      <x:c r="C11" s="10" t="s">
        <x:v>1205</x:v>
      </x:c>
      <x:c r="D11" s="10" t="s">
        <x:v>1206</x:v>
      </x:c>
      <x:c r="E11" s="10" t="s">
        <x:v>1204</x:v>
      </x:c>
      <x:c r="F11" s="10" t="s">
        <x:v>1207</x:v>
      </x:c>
      <x:c r="G11" s="10" t="s">
        <x:v>1208</x:v>
      </x:c>
    </x:row>
    <x:row r="12" ht="27">
      <x:c r="A12" s="25" t="s">
        <x:v>1209</x:v>
      </x:c>
      <x:c r="B12" s="10" t="s">
        <x:v>1210</x:v>
      </x:c>
      <x:c r="C12" s="10" t="s">
        <x:v>1211</x:v>
      </x:c>
      <x:c r="D12" s="10" t="s">
        <x:v>1212</x:v>
      </x:c>
      <x:c r="E12" s="10" t="s">
        <x:v>1213</x:v>
      </x:c>
      <x:c r="F12" s="10" t="s">
        <x:v>1214</x:v>
      </x:c>
      <x:c r="G12" s="10" t="s">
        <x:v>1215</x:v>
      </x:c>
    </x:row>
    <x:row r="13" ht="27">
      <x:c r="A13" s="25" t="s">
        <x:v>1216</x:v>
      </x:c>
      <x:c r="B13" s="10" t="s">
        <x:v>1217</x:v>
      </x:c>
      <x:c r="C13" s="10" t="s">
        <x:v>1218</x:v>
      </x:c>
      <x:c r="D13" s="10" t="s">
        <x:v>1219</x:v>
      </x:c>
      <x:c r="E13" s="10" t="s">
        <x:v>624</x:v>
      </x:c>
      <x:c r="F13" s="10" t="s">
        <x:v>1220</x:v>
      </x:c>
      <x:c r="G13" s="10" t="s">
        <x:v>1221</x:v>
      </x:c>
    </x:row>
    <x:row r="14" ht="54">
      <x:c r="A14" s="25" t="s">
        <x:v>1222</x:v>
      </x:c>
      <x:c r="B14" s="10" t="s">
        <x:v>1223</x:v>
      </x:c>
      <x:c r="C14" s="10" t="s">
        <x:v>1224</x:v>
      </x:c>
      <x:c r="D14" s="10" t="s">
        <x:v>1225</x:v>
      </x:c>
      <x:c r="E14" s="10" t="s">
        <x:v>692</x:v>
      </x:c>
      <x:c r="F14" s="10" t="s">
        <x:v>1226</x:v>
      </x:c>
      <x:c r="G14" s="10" t="s">
        <x:v>1227</x:v>
      </x:c>
    </x:row>
    <x:row r="15" ht="54">
      <x:c r="A15" s="25" t="s">
        <x:v>1228</x:v>
      </x:c>
      <x:c r="B15" s="10" t="s">
        <x:v>1229</x:v>
      </x:c>
      <x:c r="C15" s="10" t="s">
        <x:v>1230</x:v>
      </x:c>
      <x:c r="D15" s="10" t="s">
        <x:v>1231</x:v>
      </x:c>
      <x:c r="E15" s="10" t="s">
        <x:v>1232</x:v>
      </x:c>
      <x:c r="F15" s="10" t="s">
        <x:v>1233</x:v>
      </x:c>
      <x:c r="G15" s="10" t="s">
        <x:v>1234</x:v>
      </x:c>
    </x:row>
    <x:row r="16" ht="54">
      <x:c r="A16" s="25" t="s">
        <x:v>1235</x:v>
      </x:c>
      <x:c r="B16" s="10" t="s">
        <x:v>1236</x:v>
      </x:c>
      <x:c r="C16" s="10" t="s">
        <x:v>1237</x:v>
      </x:c>
      <x:c r="D16" s="10" t="s">
        <x:v>1238</x:v>
      </x:c>
      <x:c r="E16" s="10" t="s">
        <x:v>1239</x:v>
      </x:c>
      <x:c r="F16" s="10" t="s">
        <x:v>1240</x:v>
      </x:c>
      <x:c r="G16" s="10" t="s">
        <x:v>1241</x:v>
      </x:c>
    </x:row>
    <x:row r="17">
      <x:c r="A17" t="str">
        <x:v>P8-FR21-28-SEC08</x:v>
      </x:c>
      <x:c r="B17" t="str">
        <x:v>Consent, sharing, notifications, revocation, and audit workflow</x:v>
      </x:c>
      <x:c r="C17" t="str">
        <x:v>The SRS requires explicit doctor request, holding-clinic admin decision, patient consent/rejection, revocation, notification visibility, and immutable access audit controls.</x:v>
      </x:c>
      <x:c r="D17" t="str">
        <x:v>Request records lacked full who/what/when/why context, notifications were absent/static, revocation was missing, and audit retrieval/context was incomplete.</x:v>
      </x:c>
      <x:c r="E17" t="str">
        <x:v>FR-21; FR-22; FR-23; FR-24; FR-25; FR-26; FR-27; FR-28; SEC-08; GDPR audit</x:v>
      </x:c>
      <x:c r="F17" t="str">
        <x:v>Implemented and deployed on AWS. Backend/API tests 28/28, direct chaincode tests 18/18, frontend tests 5/5, lint, Vite build, and authenticated Doctor -&gt; Admin -&gt; Patient -&gt; access -&gt; audit -&gt; revoke smoke passed; final chaincode `basic` 1.0.9 sequence 11.</x:v>
      </x:c>
      <x:c r="G17" t="str">
        <x:v>External push notification delivery and packaged mobile-device runtime evidence remain separate if required; the deployed implementation covers in-app ledger notifications and API/web consent workflow.</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9.140625" style="3" customWidth="0"/>
    <x:col min="2" max="2" width="45.5703125" style="3" customWidth="1"/>
    <x:col min="3" max="7" width="34.28515625" style="3" customWidth="1"/>
    <x:col min="8" max="16384" width="9.140625" style="3" customWidth="0"/>
  </x:cols>
  <x:sheetData>
    <x:row r="2" ht="21">
      <x:c r="B2" s="84" t="s">
        <x:v>1242</x:v>
      </x:c>
      <x:c r="C2" s="84"/>
      <x:c r="D2" s="84"/>
      <x:c r="E2" s="84"/>
      <x:c r="F2" s="84"/>
      <x:c r="G2" s="84"/>
    </x:row>
    <x:row r="3">
      <x:c r="B3" s="85" t="s">
        <x:v>1243</x:v>
      </x:c>
      <x:c r="C3" s="85"/>
      <x:c r="D3" s="85"/>
      <x:c r="E3" s="85"/>
      <x:c r="F3" s="85"/>
      <x:c r="G3" s="85"/>
    </x:row>
    <x:row r="4">
      <x:c r="B4" s="13"/>
      <x:c r="C4" s="13"/>
      <x:c r="D4" s="13"/>
      <x:c r="E4" s="13"/>
      <x:c r="F4" s="13"/>
      <x:c r="G4" s="13"/>
    </x:row>
    <x:row r="5">
      <x:c r="B5" s="26" t="s">
        <x:v>30</x:v>
      </x:c>
      <x:c r="C5" s="26" t="s">
        <x:v>10</x:v>
      </x:c>
      <x:c r="D5" s="26" t="s">
        <x:v>1244</x:v>
      </x:c>
      <x:c r="E5" s="13"/>
      <x:c r="F5" s="13"/>
      <x:c r="G5" s="13"/>
    </x:row>
    <x:row r="6" ht="45">
      <x:c r="B6" s="14" t="s">
        <x:v>40</x:v>
      </x:c>
      <x:c r="C6" s="20">
        <x:v>52</x:v>
      </x:c>
      <x:c r="D6" s="15" t="s">
        <x:v>1245</x:v>
      </x:c>
      <x:c r="E6" s="13"/>
      <x:c r="F6" s="13"/>
      <x:c r="G6" s="13"/>
    </x:row>
    <x:row r="7" ht="45">
      <x:c r="B7" s="16" t="s">
        <x:v>83</x:v>
      </x:c>
      <x:c r="C7" s="21">
        <x:v>43</x:v>
      </x:c>
      <x:c r="D7" s="17" t="s">
        <x:v>1246</x:v>
      </x:c>
      <x:c r="E7" s="13"/>
      <x:c r="F7" s="13"/>
      <x:c r="G7" s="13"/>
    </x:row>
    <x:row r="8" ht="45">
      <x:c r="B8" s="16" t="s">
        <x:v>65</x:v>
      </x:c>
      <x:c r="C8" s="21">
        <x:v>15</x:v>
      </x:c>
      <x:c r="D8" s="17" t="s">
        <x:v>1247</x:v>
      </x:c>
      <x:c r="E8" s="13"/>
      <x:c r="F8" s="13"/>
      <x:c r="G8" s="13"/>
    </x:row>
    <x:row r="9" ht="60">
      <x:c r="B9" s="18" t="s">
        <x:v>346</x:v>
      </x:c>
      <x:c r="C9" s="22">
        <x:v>23</x:v>
      </x:c>
      <x:c r="D9" s="19" t="s">
        <x:v>1248</x:v>
      </x:c>
      <x:c r="E9" s="13"/>
      <x:c r="F9" s="13"/>
      <x:c r="G9" s="13"/>
    </x:row>
    <x:row r="10">
      <x:c r="B10" s="13"/>
      <x:c r="C10" s="13"/>
      <x:c r="D10" s="13"/>
      <x:c r="E10" s="13"/>
      <x:c r="F10" s="13"/>
      <x:c r="G10" s="13"/>
    </x:row>
    <x:row r="11">
      <x:c r="B11" s="26" t="s">
        <x:v>1249</x:v>
      </x:c>
      <x:c r="C11" s="26" t="s">
        <x:v>40</x:v>
      </x:c>
      <x:c r="D11" s="26" t="s">
        <x:v>83</x:v>
      </x:c>
      <x:c r="E11" s="26" t="s">
        <x:v>65</x:v>
      </x:c>
      <x:c r="F11" s="26" t="s">
        <x:v>346</x:v>
      </x:c>
      <x:c r="G11" s="26" t="s">
        <x:v>1250</x:v>
      </x:c>
    </x:row>
    <x:row r="12">
      <x:c r="B12" s="14" t="s">
        <x:v>41</x:v>
      </x:c>
      <x:c r="C12" s="20" t="n">
        <x:f>COUNTIFS(Changes!$I$2:$I$123,$B12,Changes!$H$2:$H$123,C$11)</x:f>
        <x:v>45</x:v>
      </x:c>
      <x:c r="D12" s="20" t="n">
        <x:f>COUNTIFS(Changes!$I$2:$I$123,$B12,Changes!$H$2:$H$123,D$11)</x:f>
        <x:v>6</x:v>
      </x:c>
      <x:c r="E12" s="20" t="n">
        <x:f>COUNTIFS(Changes!$I$2:$I$123,$B12,Changes!$H$2:$H$123,E$11)</x:f>
        <x:v>8</x:v>
      </x:c>
      <x:c r="F12" s="20" t="n">
        <x:f>COUNTIFS(Changes!$I$2:$I$123,$B12,Changes!$H$2:$H$123,F$11)</x:f>
        <x:v>7</x:v>
      </x:c>
      <x:c r="G12" s="23" t="n">
        <x:f t="shared" ref="G12:G17" si="0">SUM(C12:F12)</x:f>
        <x:v>66</x:v>
      </x:c>
    </x:row>
    <x:row r="13">
      <x:c r="B13" s="16" t="s">
        <x:v>239</x:v>
      </x:c>
      <x:c r="C13" s="21" t="n">
        <x:f>COUNTIFS(Changes!$I$2:$I$123,$B13,Changes!$H$2:$H$123,C$11)</x:f>
        <x:v>3</x:v>
      </x:c>
      <x:c r="D13" s="21" t="n">
        <x:f>COUNTIFS(Changes!$I$2:$I$123,$B13,Changes!$H$2:$H$123,D$11)</x:f>
        <x:v>10</x:v>
      </x:c>
      <x:c r="E13" s="21" t="n">
        <x:f>COUNTIFS(Changes!$I$2:$I$123,$B13,Changes!$H$2:$H$123,E$11)</x:f>
        <x:v>0</x:v>
      </x:c>
      <x:c r="F13" s="21" t="n">
        <x:f>COUNTIFS(Changes!$I$2:$I$123,$B13,Changes!$H$2:$H$123,F$11)</x:f>
        <x:v>3</x:v>
      </x:c>
      <x:c r="G13" s="24">
        <x:f t="shared" si="0"/>
        <x:v>16</x:v>
      </x:c>
    </x:row>
    <x:row r="14">
      <x:c r="B14" s="16" t="s">
        <x:v>561</x:v>
      </x:c>
      <x:c r="C14" s="21" t="n">
        <x:f>COUNTIFS(Changes!$I$2:$I$123,$B14,Changes!$H$2:$H$123,C$11)</x:f>
        <x:v>0</x:v>
      </x:c>
      <x:c r="D14" s="21" t="n">
        <x:f>COUNTIFS(Changes!$I$2:$I$123,$B14,Changes!$H$2:$H$123,D$11)</x:f>
        <x:v>3</x:v>
      </x:c>
      <x:c r="E14" s="21" t="n">
        <x:f>COUNTIFS(Changes!$I$2:$I$123,$B14,Changes!$H$2:$H$123,E$11)</x:f>
        <x:v>0</x:v>
      </x:c>
      <x:c r="F14" s="21" t="n">
        <x:f>COUNTIFS(Changes!$I$2:$I$123,$B14,Changes!$H$2:$H$123,F$11)</x:f>
        <x:v>1</x:v>
      </x:c>
      <x:c r="G14" s="24">
        <x:f t="shared" si="0"/>
        <x:v>4</x:v>
      </x:c>
    </x:row>
    <x:row r="15">
      <x:c r="B15" s="16" t="s">
        <x:v>296</x:v>
      </x:c>
      <x:c r="C15" s="21" t="n">
        <x:f>COUNTIFS(Changes!$I$2:$I$123,$B15,Changes!$H$2:$H$123,C$11)</x:f>
        <x:v>0</x:v>
      </x:c>
      <x:c r="D15" s="21" t="n">
        <x:f>COUNTIFS(Changes!$I$2:$I$123,$B15,Changes!$H$2:$H$123,D$11)</x:f>
        <x:v>2</x:v>
      </x:c>
      <x:c r="E15" s="21" t="n">
        <x:f>COUNTIFS(Changes!$I$2:$I$123,$B15,Changes!$H$2:$H$123,E$11)</x:f>
        <x:v>1</x:v>
      </x:c>
      <x:c r="F15" s="21" t="n">
        <x:f>COUNTIFS(Changes!$I$2:$I$123,$B15,Changes!$H$2:$H$123,F$11)</x:f>
        <x:v>1</x:v>
      </x:c>
      <x:c r="G15" s="24">
        <x:f t="shared" si="0"/>
        <x:v>4</x:v>
      </x:c>
    </x:row>
    <x:row r="16">
      <x:c r="B16" s="16" t="s">
        <x:v>315</x:v>
      </x:c>
      <x:c r="C16" s="21" t="n">
        <x:f>COUNTIFS(Changes!$I$2:$I$123,$B16,Changes!$H$2:$H$123,C$11)</x:f>
        <x:v>0</x:v>
      </x:c>
      <x:c r="D16" s="21" t="n">
        <x:f>COUNTIFS(Changes!$I$2:$I$123,$B16,Changes!$H$2:$H$123,D$11)</x:f>
        <x:v>5</x:v>
      </x:c>
      <x:c r="E16" s="21" t="n">
        <x:f>COUNTIFS(Changes!$I$2:$I$123,$B16,Changes!$H$2:$H$123,E$11)</x:f>
        <x:v>0</x:v>
      </x:c>
      <x:c r="F16" s="21" t="n">
        <x:f>COUNTIFS(Changes!$I$2:$I$123,$B16,Changes!$H$2:$H$123,F$11)</x:f>
        <x:v>1</x:v>
      </x:c>
      <x:c r="G16" s="24">
        <x:f t="shared" si="0"/>
        <x:v>6</x:v>
      </x:c>
    </x:row>
    <x:row r="17">
      <x:c r="B17" s="16" t="s">
        <x:v>587</x:v>
      </x:c>
      <x:c r="C17" s="21" t="n">
        <x:f>COUNTIFS(Changes!$I$2:$I$123,$B17,Changes!$H$2:$H$123,C$11)</x:f>
        <x:v>0</x:v>
      </x:c>
      <x:c r="D17" s="21" t="n">
        <x:f>COUNTIFS(Changes!$I$2:$I$123,$B17,Changes!$H$2:$H$123,D$11)</x:f>
        <x:v>6</x:v>
      </x:c>
      <x:c r="E17" s="21" t="n">
        <x:f>COUNTIFS(Changes!$I$2:$I$123,$B17,Changes!$H$2:$H$123,E$11)</x:f>
        <x:v>2</x:v>
      </x:c>
      <x:c r="F17" s="21" t="n">
        <x:f>COUNTIFS(Changes!$I$2:$I$123,$B17,Changes!$H$2:$H$123,F$11)</x:f>
        <x:v>1</x:v>
      </x:c>
      <x:c r="G17" s="24">
        <x:f t="shared" si="0"/>
        <x:v>9</x:v>
      </x:c>
    </x:row>
    <x:row r="18">
      <x:c r="B18" s="16" t="s">
        <x:v>656</x:v>
      </x:c>
      <x:c r="C18" s="21">
        <x:v>0</x:v>
      </x:c>
      <x:c r="D18" s="21">
        <x:v>4</x:v>
      </x:c>
      <x:c r="E18" s="21">
        <x:v>2</x:v>
      </x:c>
      <x:c r="F18" s="21">
        <x:v>3</x:v>
      </x:c>
      <x:c r="G18" s="24">
        <x:v>9</x:v>
      </x:c>
    </x:row>
    <x:row r="19">
      <x:c r="B19" s="16" t="s">
        <x:v>722</x:v>
      </x:c>
      <x:c r="C19" s="21" t="n">
        <x:f>COUNTIFS(Changes!$I$2:$I$123,$B19,Changes!$H$2:$H$123,C$11)</x:f>
        <x:v>0</x:v>
      </x:c>
      <x:c r="D19" s="21" t="n">
        <x:f>COUNTIFS(Changes!$I$2:$I$123,$B19,Changes!$H$2:$H$123,D$11)</x:f>
        <x:v>4</x:v>
      </x:c>
      <x:c r="E19" s="21" t="n">
        <x:f>COUNTIFS(Changes!$I$2:$I$123,$B19,Changes!$H$2:$H$123,E$11)</x:f>
        <x:v>1</x:v>
      </x:c>
      <x:c r="F19" s="21" t="n">
        <x:f>COUNTIFS(Changes!$I$2:$I$123,$B19,Changes!$H$2:$H$123,F$11)</x:f>
        <x:v>3</x:v>
      </x:c>
      <x:c r="G19" s="24" t="n">
        <x:f>SUM(C19:F19)</x:f>
        <x:v>8</x:v>
      </x:c>
    </x:row>
    <x:row r="20">
      <x:c r="B20" s="13" t="s">
        <x:v>778</x:v>
      </x:c>
      <x:c r="C20" s="74">
        <x:v>4</x:v>
      </x:c>
      <x:c r="D20" s="74">
        <x:v>3</x:v>
      </x:c>
      <x:c r="E20" s="74">
        <x:v>1</x:v>
      </x:c>
      <x:c r="F20" s="74">
        <x:v>3</x:v>
      </x:c>
      <x:c r="G20" s="74">
        <x:v>11</x:v>
      </x:c>
    </x:row>
    <x:row r="21">
      <x:c r="B21" s="13"/>
      <x:c r="C21" s="74"/>
      <x:c r="D21" s="74"/>
      <x:c r="E21" s="74"/>
      <x:c r="F21" s="74"/>
      <x:c r="G21" s="74"/>
    </x:row>
    <x:row r="22" ht="21">
      <x:c r="B22" s="86" t="s">
        <x:v>1251</x:v>
      </x:c>
      <x:c r="C22" s="86"/>
      <x:c r="D22" s="86"/>
      <x:c r="E22" s="86"/>
      <x:c r="F22" s="86"/>
      <x:c r="G22" s="86"/>
    </x:row>
    <x:row r="23">
      <x:c r="B23" s="83" t="s">
        <x:v>1252</x:v>
      </x:c>
      <x:c r="C23" s="83"/>
      <x:c r="D23" s="83"/>
      <x:c r="E23" s="83"/>
      <x:c r="F23" s="83"/>
      <x:c r="G23" s="83"/>
    </x:row>
    <x:row r="24">
      <x:c r="B24" s="83" t="s">
        <x:v>1253</x:v>
      </x:c>
      <x:c r="C24" s="83"/>
      <x:c r="D24" s="83"/>
      <x:c r="E24" s="83"/>
      <x:c r="F24" s="83"/>
      <x:c r="G24" s="83"/>
    </x:row>
    <x:row r="25">
      <x:c r="B25" s="79" t="s">
        <x:v>1254</x:v>
      </x:c>
      <x:c r="C25" s="79"/>
      <x:c r="D25" s="79"/>
      <x:c r="E25" s="79"/>
      <x:c r="F25" s="79"/>
      <x:c r="G25" s="79"/>
    </x:row>
    <x:row r="26">
      <x:c r="B26" s="79" t="s">
        <x:v>1255</x:v>
      </x:c>
      <x:c r="C26" s="79"/>
      <x:c r="D26" s="79"/>
      <x:c r="E26" s="79"/>
      <x:c r="F26" s="79"/>
      <x:c r="G26" s="79"/>
    </x:row>
  </x:sheetData>
  <x:mergeCells>
    <x:mergeCell ref="B24:G24"/>
    <x:mergeCell ref="B25:G25"/>
    <x:mergeCell ref="B26:G26"/>
    <x:mergeCell ref="B2:G2"/>
    <x:mergeCell ref="B3:G3"/>
    <x:mergeCell ref="B22:G22"/>
    <x:mergeCell ref="B23:G23"/>
  </x:mergeCells>
  <x:pageMargins left="0.7" right="0.7" top="0.75" bottom="0.75" header="0.3" footer="0.3"/>
</x:worksheet>
</file>